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45" windowWidth="15195" windowHeight="1680" firstSheet="2" activeTab="4"/>
  </bookViews>
  <sheets>
    <sheet name="Tool Architecture" sheetId="6" state="hidden" r:id="rId1"/>
    <sheet name="Instructions" sheetId="4" state="hidden" r:id="rId2"/>
    <sheet name="Tool Control" sheetId="1" r:id="rId3"/>
    <sheet name="TestData" sheetId="10" r:id="rId4"/>
    <sheet name="Settings" sheetId="5" r:id="rId5"/>
    <sheet name="Project Data" sheetId="2" r:id="rId6"/>
    <sheet name="VRF Data" sheetId="3" state="hidden" r:id="rId7"/>
    <sheet name="CR DX Data" sheetId="11" r:id="rId8"/>
    <sheet name="STD DX Data" sheetId="7" state="hidden" r:id="rId9"/>
    <sheet name="PAF DX Data" sheetId="8" state="hidden" r:id="rId10"/>
    <sheet name="APPEND DX Data" sheetId="9" state="hidden" r:id="rId11"/>
  </sheets>
  <functionGroups builtInGroupCount="17"/>
  <definedNames>
    <definedName name="_xlnm._FilterDatabase" localSheetId="5" hidden="1">'Project Data'!$A$1:$R$178</definedName>
    <definedName name="AETNA">TestData!$S$2</definedName>
    <definedName name="AMC">TestData!#REF!</definedName>
    <definedName name="AMCS">TestData!#REF!</definedName>
    <definedName name="ARCADIAN">TestData!#REF!</definedName>
    <definedName name="BRVO">TestData!#REF!</definedName>
    <definedName name="CIGNA">TestData!$T$2</definedName>
    <definedName name="COVENTRY">TestData!$U$2</definedName>
    <definedName name="CVT">TestData!#REF!</definedName>
    <definedName name="ELDERPLAN">TestData!$V$2</definedName>
    <definedName name="ELP">TestData!#REF!</definedName>
    <definedName name="HEALTHNET">TestData!$W$2:$W$3</definedName>
    <definedName name="HEALTHNET1">TestData!#REF!</definedName>
    <definedName name="HEALTHPLANS">TestData!$R$2:$R$19</definedName>
    <definedName name="HEALTHSPRING">TestData!#REF!</definedName>
    <definedName name="HMSA">TestData!$X$2</definedName>
    <definedName name="HNET">TestData!#REF!</definedName>
    <definedName name="MEDICA">TestData!$Y$2</definedName>
    <definedName name="MOUNTCARMEL">TestData!$Z$2</definedName>
    <definedName name="MTC">TestData!#REF!</definedName>
    <definedName name="NAMM">TestData!$AA$2:$AA$51</definedName>
    <definedName name="SH">TestData!#REF!</definedName>
    <definedName name="TUF">TestData!#REF!</definedName>
    <definedName name="TUFTS">TestData!$AB$2</definedName>
    <definedName name="UCARE">TestData!$AC$2</definedName>
    <definedName name="UCR">TestData!#REF!</definedName>
    <definedName name="UHCCS">TestData!$AD$2:$AD$4</definedName>
    <definedName name="UHCMR">TestData!$AE$2:$AE$14</definedName>
    <definedName name="UOV">TestData!$AF$2</definedName>
    <definedName name="WINDSOR">TestData!$AG$2:$AG$10</definedName>
  </definedNames>
  <calcPr calcId="145621"/>
</workbook>
</file>

<file path=xl/calcChain.xml><?xml version="1.0" encoding="utf-8"?>
<calcChain xmlns="http://schemas.openxmlformats.org/spreadsheetml/2006/main">
  <c r="C40" i="11" l="1"/>
  <c r="E38" i="11" l="1"/>
  <c r="F38" i="11"/>
  <c r="G38" i="11"/>
  <c r="H38" i="11"/>
  <c r="I38" i="11"/>
  <c r="J38" i="11"/>
  <c r="K38" i="11"/>
  <c r="L38" i="11"/>
  <c r="E39" i="11"/>
  <c r="F39" i="11"/>
  <c r="G39" i="11"/>
  <c r="H39" i="11"/>
  <c r="I39" i="11"/>
  <c r="J39" i="11"/>
  <c r="K39" i="11"/>
  <c r="L39" i="11"/>
  <c r="E40" i="11"/>
  <c r="F40" i="11"/>
  <c r="G40" i="11"/>
  <c r="H40" i="11"/>
  <c r="I40" i="11"/>
  <c r="J40" i="11"/>
  <c r="K40" i="11"/>
  <c r="L40" i="11"/>
  <c r="D38" i="11"/>
  <c r="D39" i="11"/>
  <c r="D40" i="11"/>
  <c r="C39" i="11" l="1"/>
  <c r="C38" i="11"/>
  <c r="C54" i="7" l="1"/>
  <c r="D65" i="8" l="1"/>
  <c r="D57" i="8"/>
  <c r="D44" i="8"/>
  <c r="D43" i="8"/>
  <c r="D42" i="8"/>
  <c r="D41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3" i="8"/>
  <c r="D2" i="8"/>
</calcChain>
</file>

<file path=xl/comments1.xml><?xml version="1.0" encoding="utf-8"?>
<comments xmlns="http://schemas.openxmlformats.org/spreadsheetml/2006/main">
  <authors>
    <author>Choletti, Govardhan (Cognizant)</author>
  </authors>
  <commentList>
    <comment ref="A45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Provider Last Name populated.  Optional otherwise.   If Provider Last Name populated, must be a valid code.</t>
        </r>
      </text>
    </comment>
    <comment ref="A46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Project Provider Type (HDR-7) = SNF, HOSP, HOSP/PROF</t>
        </r>
      </text>
    </comment>
    <comment ref="A47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Project Provider Type (HDR-7) = PROF/MED</t>
        </r>
      </text>
    </comment>
  </commentList>
</comments>
</file>

<file path=xl/comments2.xml><?xml version="1.0" encoding="utf-8"?>
<comments xmlns="http://schemas.openxmlformats.org/spreadsheetml/2006/main">
  <authors>
    <author>Choletti, Govardhan (Cognizant)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 xml:space="preserve">Segment Identifier.  </t>
        </r>
        <r>
          <rPr>
            <sz val="9"/>
            <color indexed="81"/>
            <rFont val="Tahoma"/>
            <family val="2"/>
          </rPr>
          <t xml:space="preserve">
Valid Values:   ‘AAA’ 
A/N(3)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Must be ‘AAA’ or entire file will reject.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 xml:space="preserve">Segment sequence id.  
</t>
        </r>
        <r>
          <rPr>
            <sz val="9"/>
            <color indexed="81"/>
            <rFont val="Tahoma"/>
            <family val="2"/>
          </rPr>
          <t>A running sequence for every ‘AAA’ segment in the file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>N(9)</t>
        </r>
        <r>
          <rPr>
            <b/>
            <sz val="9"/>
            <color indexed="81"/>
            <rFont val="Tahoma"/>
            <family val="2"/>
          </rPr>
          <t xml:space="preserve"> O 
</t>
        </r>
        <r>
          <rPr>
            <sz val="9"/>
            <color indexed="81"/>
            <rFont val="Tahoma"/>
            <family val="2"/>
          </rPr>
          <t xml:space="preserve">Reserved for future use.
</t>
        </r>
      </text>
    </comment>
    <comment ref="B4" authorId="0">
      <text>
        <r>
          <rPr>
            <sz val="9"/>
            <color indexed="81"/>
            <rFont val="Tahoma"/>
            <family val="2"/>
          </rPr>
          <t xml:space="preserve">Repeats for each ‘AAA’ segment in the file. 
N(9) </t>
        </r>
        <r>
          <rPr>
            <b/>
            <sz val="9"/>
            <color indexed="81"/>
            <rFont val="Tahoma"/>
            <family val="2"/>
          </rPr>
          <t>O</t>
        </r>
        <r>
          <rPr>
            <sz val="9"/>
            <color indexed="81"/>
            <rFont val="Tahoma"/>
            <family val="2"/>
          </rPr>
          <t xml:space="preserve"> 
Client file Identifier.  Reserved for future use.  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Transaction Date</t>
        </r>
        <r>
          <rPr>
            <sz val="9"/>
            <color indexed="81"/>
            <rFont val="Tahoma"/>
            <family val="2"/>
          </rPr>
          <t xml:space="preserve">
Repeats for each ‘AAA’ segment in the file. 
DATE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 
Timestamp of when this file was created.  MM/DD/YYYY:HHMMSS.  Entire file will reject if timestamp is not populated.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Project ID</t>
        </r>
        <r>
          <rPr>
            <sz val="9"/>
            <color indexed="81"/>
            <rFont val="Tahoma"/>
            <family val="2"/>
          </rPr>
          <t xml:space="preserve"> 
Unique Project Identifier 
A/N(15)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
This Does not need to match a project in ChartSync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Project Name</t>
        </r>
        <r>
          <rPr>
            <sz val="9"/>
            <color indexed="81"/>
            <rFont val="Tahoma"/>
            <family val="2"/>
          </rPr>
          <t xml:space="preserve"> 
Name of this Chart Review  
A/N (50)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
This Does not need to match a project in ChartSync
</t>
        </r>
      </text>
    </comment>
  </commentList>
</comments>
</file>

<file path=xl/comments3.xml><?xml version="1.0" encoding="utf-8"?>
<comments xmlns="http://schemas.openxmlformats.org/spreadsheetml/2006/main">
  <authors>
    <author>Choletti, Govardhan (Cognizant)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Project ID</t>
        </r>
        <r>
          <rPr>
            <sz val="9"/>
            <color indexed="81"/>
            <rFont val="Tahoma"/>
            <family val="2"/>
          </rPr>
          <t xml:space="preserve">
Unique Project Identifier
A/N(15)
This  needs to match a project in ChartSync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Barcode ID</t>
        </r>
        <r>
          <rPr>
            <sz val="9"/>
            <color indexed="81"/>
            <rFont val="Tahoma"/>
            <family val="2"/>
          </rPr>
          <t xml:space="preserve">
Unique ID for this member/provider combination.  
A/N (100)
Must match a valid barcode record in the ChartSync system for this project.  Otherwise, fail this record/barcode  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 xml:space="preserve">From Date of Service :
</t>
        </r>
        <r>
          <rPr>
            <sz val="9"/>
            <color indexed="81"/>
            <rFont val="Tahoma"/>
            <family val="2"/>
          </rPr>
          <t xml:space="preserve">From Date of Service
DATE
MM/DD/YYYY.  If invalid format, fail this record/barcode  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Thru Date of Service</t>
        </r>
        <r>
          <rPr>
            <sz val="9"/>
            <color indexed="81"/>
            <rFont val="Tahoma"/>
            <family val="2"/>
          </rPr>
          <t xml:space="preserve">
DATE
MM/DD/YYYY.  If invalid format, fail this record/barcode.
End date must be greater than or equal to start date.  Otherwise, reject Barcode 
If date is 2099, change to 12/31/1999 , do not perform a validation on ICD value. 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Encounter key</t>
        </r>
        <r>
          <rPr>
            <sz val="9"/>
            <color indexed="81"/>
            <rFont val="Tahoma"/>
            <family val="2"/>
          </rPr>
          <t xml:space="preserve">
Ops’s unique key
A/N(9)
Up to 9 characters (may be 8) 
This field is not needed from the external vendor APPENDDX file.</t>
        </r>
      </text>
    </comment>
  </commentList>
</comments>
</file>

<file path=xl/sharedStrings.xml><?xml version="1.0" encoding="utf-8"?>
<sst xmlns="http://schemas.openxmlformats.org/spreadsheetml/2006/main" count="3285" uniqueCount="1118">
  <si>
    <t>Field Type</t>
  </si>
  <si>
    <t>Field Name</t>
  </si>
  <si>
    <t>Segment Identifier</t>
  </si>
  <si>
    <t>Project Name</t>
  </si>
  <si>
    <t>HDR</t>
  </si>
  <si>
    <t>Sequence Number</t>
  </si>
  <si>
    <t>Member ID</t>
  </si>
  <si>
    <t>Member State</t>
  </si>
  <si>
    <t>Member Health Plan</t>
  </si>
  <si>
    <t>DTL</t>
  </si>
  <si>
    <t>Provider Last Name</t>
  </si>
  <si>
    <t>Provider First Name</t>
  </si>
  <si>
    <t>Provider Address 1</t>
  </si>
  <si>
    <t>Provider Address 2</t>
  </si>
  <si>
    <t>Provider City</t>
  </si>
  <si>
    <t>Provider State</t>
  </si>
  <si>
    <t>Provider ZIP</t>
  </si>
  <si>
    <t>Provider Phone</t>
  </si>
  <si>
    <t>Provider Group ID</t>
  </si>
  <si>
    <t>Provider Group Name</t>
  </si>
  <si>
    <t>DTL Count</t>
  </si>
  <si>
    <t>TRA</t>
  </si>
  <si>
    <t>Data_Field-1</t>
  </si>
  <si>
    <t>Field Selection</t>
  </si>
  <si>
    <t>Have</t>
  </si>
  <si>
    <t>Don't Have</t>
  </si>
  <si>
    <t>INGENIX</t>
  </si>
  <si>
    <t>A</t>
  </si>
  <si>
    <t>1</t>
  </si>
  <si>
    <t>03/07/1987</t>
  </si>
  <si>
    <t>AutoProvLName</t>
  </si>
  <si>
    <t>AutoProvFName</t>
  </si>
  <si>
    <t>Y</t>
  </si>
  <si>
    <t>Auto007</t>
  </si>
  <si>
    <t>AutoProvGrpName</t>
  </si>
  <si>
    <t>10</t>
  </si>
  <si>
    <t>NV</t>
  </si>
  <si>
    <t>S.No</t>
  </si>
  <si>
    <t>Field Value</t>
  </si>
  <si>
    <t>DB_HOST</t>
  </si>
  <si>
    <t>DB_DATABASE</t>
  </si>
  <si>
    <t>DB_USERNAME</t>
  </si>
  <si>
    <t>DB_PASSWORD</t>
  </si>
  <si>
    <t>DB_PORT</t>
  </si>
  <si>
    <t>1521</t>
  </si>
  <si>
    <t>DB_CHARTFILEQUERY</t>
  </si>
  <si>
    <t>PROJ_PROJFILENAME</t>
  </si>
  <si>
    <t>CHART_PROJFILENAME</t>
  </si>
  <si>
    <t>CHART_CHARTFILENAME</t>
  </si>
  <si>
    <t>chart</t>
  </si>
  <si>
    <t>DB_CHARTCNTQUERY</t>
  </si>
  <si>
    <t>EMR</t>
  </si>
  <si>
    <t>EMR Name</t>
  </si>
  <si>
    <t>CA</t>
  </si>
  <si>
    <t>External system id</t>
  </si>
  <si>
    <t>Project ID</t>
  </si>
  <si>
    <t>Chart ID</t>
  </si>
  <si>
    <t>Form Type</t>
  </si>
  <si>
    <t>MemberHIC</t>
  </si>
  <si>
    <t>MemberFirst Name</t>
  </si>
  <si>
    <t>MemberMiddle Initial</t>
  </si>
  <si>
    <t>MemberLast Name</t>
  </si>
  <si>
    <t>Membe DOB</t>
  </si>
  <si>
    <t>Source</t>
  </si>
  <si>
    <t>LOB</t>
  </si>
  <si>
    <t>Site CD</t>
  </si>
  <si>
    <t>Provider ID</t>
  </si>
  <si>
    <t>Provider Specialty</t>
  </si>
  <si>
    <t>Beg Service Date</t>
  </si>
  <si>
    <t>End Service Date</t>
  </si>
  <si>
    <t>Prim DX</t>
  </si>
  <si>
    <t>ICD-9_Code</t>
  </si>
  <si>
    <t>HCC Code</t>
  </si>
  <si>
    <t>RXHCC Code</t>
  </si>
  <si>
    <t>Error Code 1</t>
  </si>
  <si>
    <t>Error Code Description 1</t>
  </si>
  <si>
    <t>Error Code 2</t>
  </si>
  <si>
    <t>Error Code Description 2</t>
  </si>
  <si>
    <t>Error Code 3</t>
  </si>
  <si>
    <t>Error Code Description 3</t>
  </si>
  <si>
    <t>Payment</t>
  </si>
  <si>
    <t>Run Date</t>
  </si>
  <si>
    <t>Market Outreach Rep</t>
  </si>
  <si>
    <t>Payment Check Box1</t>
  </si>
  <si>
    <t>Payment Check Box2</t>
  </si>
  <si>
    <t>Payment Check Box3</t>
  </si>
  <si>
    <t>Payment Check Box4</t>
  </si>
  <si>
    <t>Payment Check Box5</t>
  </si>
  <si>
    <t>Payment Note</t>
  </si>
  <si>
    <t>Last Chart Status</t>
  </si>
  <si>
    <t>Insite Group Id</t>
  </si>
  <si>
    <t>Insite Group Name</t>
  </si>
  <si>
    <t>Plan Code</t>
  </si>
  <si>
    <t>Review Type</t>
  </si>
  <si>
    <t>Coded On</t>
  </si>
  <si>
    <t>Coded By</t>
  </si>
  <si>
    <t>Client Request Id</t>
  </si>
  <si>
    <t>Pass Validation</t>
  </si>
  <si>
    <t>Manual Change</t>
  </si>
  <si>
    <t>EO_Code_Changed</t>
  </si>
  <si>
    <t>Notes</t>
  </si>
  <si>
    <t>DX_PAFFILENAME</t>
  </si>
  <si>
    <t>EDX</t>
  </si>
  <si>
    <t>AnyThing</t>
  </si>
  <si>
    <t>50.01</t>
  </si>
  <si>
    <t>02/03/2011</t>
  </si>
  <si>
    <t>Apollo Hospitals</t>
  </si>
  <si>
    <t>True</t>
  </si>
  <si>
    <t>False</t>
  </si>
  <si>
    <t>Star Care Hospitals</t>
  </si>
  <si>
    <t>Received</t>
  </si>
  <si>
    <t>InsiteGP123654</t>
  </si>
  <si>
    <t>InsiteGP Name</t>
  </si>
  <si>
    <t>HP No 123</t>
  </si>
  <si>
    <t>04/05/2011</t>
  </si>
  <si>
    <t>Autouser210</t>
  </si>
  <si>
    <t>Client ID</t>
  </si>
  <si>
    <t>Comment Section</t>
  </si>
  <si>
    <t xml:space="preserve">Project Data </t>
  </si>
  <si>
    <t>CF</t>
  </si>
  <si>
    <t>DB_ECHARTFILEQUERY</t>
  </si>
  <si>
    <t>DB_ECHARTCNTQUERY</t>
  </si>
  <si>
    <t>CHART_ECHARTFILENAME</t>
  </si>
  <si>
    <t>32345</t>
  </si>
  <si>
    <t>08</t>
  </si>
  <si>
    <t>9120009999</t>
  </si>
  <si>
    <t xml:space="preserve"> </t>
  </si>
  <si>
    <t>Barcode ID</t>
  </si>
  <si>
    <t>Status</t>
  </si>
  <si>
    <t>Status Update Date</t>
  </si>
  <si>
    <t>Retrieved By Last Name</t>
  </si>
  <si>
    <t>Retrieved By First Name</t>
  </si>
  <si>
    <t>PNP Code</t>
  </si>
  <si>
    <t>Reject E&amp;O Code</t>
  </si>
  <si>
    <t>Image Status</t>
  </si>
  <si>
    <t>Comments</t>
  </si>
  <si>
    <t>Scheduled date</t>
  </si>
  <si>
    <t>Reduction Approved</t>
  </si>
  <si>
    <t>Onsite coding conducted</t>
  </si>
  <si>
    <t>Retrieval Vendor Site ID</t>
  </si>
  <si>
    <t>Retrieval Method</t>
  </si>
  <si>
    <t>Payment  Requested</t>
  </si>
  <si>
    <t>Payment Approved</t>
  </si>
  <si>
    <t>Payment Amount</t>
  </si>
  <si>
    <t>RETVD</t>
  </si>
  <si>
    <t>PNP3</t>
  </si>
  <si>
    <t>IMGNX</t>
  </si>
  <si>
    <t>N</t>
  </si>
  <si>
    <t>37145.00</t>
  </si>
  <si>
    <t>Field-CNA</t>
  </si>
  <si>
    <t>Field-PNP</t>
  </si>
  <si>
    <t>Field-RETVD</t>
  </si>
  <si>
    <t>Field-SENT</t>
  </si>
  <si>
    <t>Field-INTAKEREJ</t>
  </si>
  <si>
    <t>Field-CODINGREJ</t>
  </si>
  <si>
    <t>Field-PNPREL</t>
  </si>
  <si>
    <t>Field-SCHEDULED</t>
  </si>
  <si>
    <t>Field-CANCELLED</t>
  </si>
  <si>
    <t>Field-RELEASED</t>
  </si>
  <si>
    <t>CNA</t>
  </si>
  <si>
    <t>PNP</t>
  </si>
  <si>
    <t>SENT</t>
  </si>
  <si>
    <t>INTAKEREJ</t>
  </si>
  <si>
    <t>CODINGREJ</t>
  </si>
  <si>
    <t>PNPRELEASE</t>
  </si>
  <si>
    <t>SCHEDULED</t>
  </si>
  <si>
    <t>CANCELED</t>
  </si>
  <si>
    <t>RELEASED</t>
  </si>
  <si>
    <t>SNF</t>
  </si>
  <si>
    <t>TEXAS</t>
  </si>
  <si>
    <t>TO DOOR NO  02401</t>
  </si>
  <si>
    <t>TO 6 OAK STRET</t>
  </si>
  <si>
    <t>Record ID</t>
  </si>
  <si>
    <t>File ID</t>
  </si>
  <si>
    <t>Transaction Date</t>
  </si>
  <si>
    <t>From Date of Service</t>
  </si>
  <si>
    <t>Thru Date of Service</t>
  </si>
  <si>
    <t>Service Type</t>
  </si>
  <si>
    <t>E&amp;O 1</t>
  </si>
  <si>
    <t>E&amp;O 2</t>
  </si>
  <si>
    <t>E&amp;O 3</t>
  </si>
  <si>
    <t>Page Number</t>
  </si>
  <si>
    <t>Rendering = Retrieval</t>
  </si>
  <si>
    <t>Rendering Provider NPI</t>
  </si>
  <si>
    <t>Rendering Provider First Name</t>
  </si>
  <si>
    <t>Rendering Provider Middle Initial</t>
  </si>
  <si>
    <t>Rendering Provider Last Name</t>
  </si>
  <si>
    <t>Rendering Provider Group Name</t>
  </si>
  <si>
    <t>Rendering Provider Address 1</t>
  </si>
  <si>
    <t>Rendering Provider Address 2</t>
  </si>
  <si>
    <t>Rendering Provider City</t>
  </si>
  <si>
    <t>Rendering Provider State</t>
  </si>
  <si>
    <t>Rendering Provider Zip</t>
  </si>
  <si>
    <t>Rendering Provider Phone</t>
  </si>
  <si>
    <t>Rendering Provider Fax</t>
  </si>
  <si>
    <t>Rendering Provider Email</t>
  </si>
  <si>
    <t>Rendering Provider Specialty</t>
  </si>
  <si>
    <t>ICD-9</t>
  </si>
  <si>
    <t>Primary Indicator</t>
  </si>
  <si>
    <t>DDD Record Total</t>
  </si>
  <si>
    <t>CCC Record Total</t>
  </si>
  <si>
    <t>BBB Record Total</t>
  </si>
  <si>
    <t>AAA Record Total</t>
  </si>
  <si>
    <t>AAA</t>
  </si>
  <si>
    <t>BBB</t>
  </si>
  <si>
    <t>CCC</t>
  </si>
  <si>
    <t>DDD</t>
  </si>
  <si>
    <t>WWW</t>
  </si>
  <si>
    <t>XXX</t>
  </si>
  <si>
    <t>YYY</t>
  </si>
  <si>
    <t>ZZZ</t>
  </si>
  <si>
    <t>123456789</t>
  </si>
  <si>
    <t>987654321</t>
  </si>
  <si>
    <t>PAFID</t>
  </si>
  <si>
    <t>OP_23</t>
  </si>
  <si>
    <t>DX</t>
  </si>
  <si>
    <t>DB_STDDXFILENAME</t>
  </si>
  <si>
    <t>DB_STDDXPROJFILENAME</t>
  </si>
  <si>
    <t>DB_STDDXQUERY</t>
  </si>
  <si>
    <t>&lt;Will Fetch From DB&gt;</t>
  </si>
  <si>
    <t>OP</t>
  </si>
  <si>
    <t>1234567890</t>
  </si>
  <si>
    <t>9876543210</t>
  </si>
  <si>
    <t xml:space="preserve">Tool Prov First Name </t>
  </si>
  <si>
    <t>T</t>
  </si>
  <si>
    <t xml:space="preserve">Tool Prov Last Name </t>
  </si>
  <si>
    <t xml:space="preserve">Tool Prov Group Name </t>
  </si>
  <si>
    <t>Tool Prov Address 1</t>
  </si>
  <si>
    <t>Tool Prov Address 2</t>
  </si>
  <si>
    <t>Tool Prov City</t>
  </si>
  <si>
    <t>55555-5555</t>
  </si>
  <si>
    <t>7202608400</t>
  </si>
  <si>
    <t>9291511170</t>
  </si>
  <si>
    <t>E-mail@ChartSync.Tool</t>
  </si>
  <si>
    <t>01</t>
  </si>
  <si>
    <t>250.00</t>
  </si>
  <si>
    <t>&lt;Will Calculate From Inputs&gt;</t>
  </si>
  <si>
    <t>Data_Field-2</t>
  </si>
  <si>
    <t>Data_Field-3</t>
  </si>
  <si>
    <t>Data_Field-4</t>
  </si>
  <si>
    <t>Data_Field-5</t>
  </si>
  <si>
    <t>Data_Field-6</t>
  </si>
  <si>
    <t>Data_Field-7</t>
  </si>
  <si>
    <t>Data_Field-8</t>
  </si>
  <si>
    <t>417.1</t>
  </si>
  <si>
    <t>01/01/2012</t>
  </si>
  <si>
    <t>Data_Field-9</t>
  </si>
  <si>
    <t>Data_Field-10</t>
  </si>
  <si>
    <t>01/11/2012</t>
  </si>
  <si>
    <t>255.0</t>
  </si>
  <si>
    <t>11/27/2012:135249</t>
  </si>
  <si>
    <t>Password</t>
  </si>
  <si>
    <t>Icognizant</t>
  </si>
  <si>
    <t>UHG_000746373</t>
  </si>
  <si>
    <t>07/06/2012</t>
  </si>
  <si>
    <t>07/12/2012</t>
  </si>
  <si>
    <t>1234560789</t>
  </si>
  <si>
    <t>1234560790</t>
  </si>
  <si>
    <t>1234560791</t>
  </si>
  <si>
    <t>1234560792</t>
  </si>
  <si>
    <t>1234560793</t>
  </si>
  <si>
    <t>B</t>
  </si>
  <si>
    <t>D</t>
  </si>
  <si>
    <t>E</t>
  </si>
  <si>
    <t>Tool Add Name3</t>
  </si>
  <si>
    <t>Tool Add Name4</t>
  </si>
  <si>
    <t>11234-3467</t>
  </si>
  <si>
    <t>7202408400</t>
  </si>
  <si>
    <t>7202608300</t>
  </si>
  <si>
    <t>7202608412</t>
  </si>
  <si>
    <t>Tool Add Name5</t>
  </si>
  <si>
    <t>Tool Add Name7</t>
  </si>
  <si>
    <t>Tool Add Name8</t>
  </si>
  <si>
    <t>11234-3468</t>
  </si>
  <si>
    <t>11234-3470</t>
  </si>
  <si>
    <t>11234-3471</t>
  </si>
  <si>
    <t>Data_Field-11</t>
  </si>
  <si>
    <t>Data_Field-12</t>
  </si>
  <si>
    <t>Data_Field-13</t>
  </si>
  <si>
    <t>Data_Field-14</t>
  </si>
  <si>
    <t>Data_Field-15</t>
  </si>
  <si>
    <t>10/30/2012</t>
  </si>
  <si>
    <t>197.3</t>
  </si>
  <si>
    <t>260</t>
  </si>
  <si>
    <t>268.0</t>
  </si>
  <si>
    <t>272.0</t>
  </si>
  <si>
    <t>258.1</t>
  </si>
  <si>
    <t>342.80</t>
  </si>
  <si>
    <t>292.0</t>
  </si>
  <si>
    <t>DB_VRFQUERY</t>
  </si>
  <si>
    <t>DB_VRFFILENAME</t>
  </si>
  <si>
    <t>DB_VRFPROJFILENAME</t>
  </si>
  <si>
    <t>RESPONSE</t>
  </si>
  <si>
    <t>D13</t>
  </si>
  <si>
    <t>D04</t>
  </si>
  <si>
    <t>U</t>
  </si>
  <si>
    <t>08/05/2012</t>
  </si>
  <si>
    <t>08/06/2012</t>
  </si>
  <si>
    <t>08/07/2012</t>
  </si>
  <si>
    <t>10/05/2012</t>
  </si>
  <si>
    <t>12/31/2012</t>
  </si>
  <si>
    <t>08/20/2012</t>
  </si>
  <si>
    <t>12/20/2012</t>
  </si>
  <si>
    <t>01/01/2013</t>
  </si>
  <si>
    <t>VRF CAN Comments</t>
  </si>
  <si>
    <t>VRF CNA Comments</t>
  </si>
  <si>
    <t>VRF PNP Comments</t>
  </si>
  <si>
    <t>VRF RTD Comments</t>
  </si>
  <si>
    <t>VRF SENT Comments</t>
  </si>
  <si>
    <t>VRF INTK Comments</t>
  </si>
  <si>
    <t>VRF CDG Comments</t>
  </si>
  <si>
    <t>VRF PREL Comments</t>
  </si>
  <si>
    <t>VRF SCH Comments</t>
  </si>
  <si>
    <t>VRF REL Comments</t>
  </si>
  <si>
    <t>11/30/2014</t>
  </si>
  <si>
    <t>3714.00</t>
  </si>
  <si>
    <t>7145.00</t>
  </si>
  <si>
    <t>3715.00</t>
  </si>
  <si>
    <t>345.01</t>
  </si>
  <si>
    <t>45.12</t>
  </si>
  <si>
    <t>5.01</t>
  </si>
  <si>
    <t>VRFCNASiteID01</t>
  </si>
  <si>
    <t>VRFPNPSiteID01</t>
  </si>
  <si>
    <t>VRFRETVDSiteID12</t>
  </si>
  <si>
    <t>VRFSENTSiteID0</t>
  </si>
  <si>
    <t>VRFINTREJSiteID99</t>
  </si>
  <si>
    <t>VRFCODREJSiteID87</t>
  </si>
  <si>
    <t>VRFPNPRELSiteID45</t>
  </si>
  <si>
    <t>VRFSCHSiteID87</t>
  </si>
  <si>
    <t>VRFCANCELSiteID56</t>
  </si>
  <si>
    <t>VRFRELSiteID67</t>
  </si>
  <si>
    <t>VRFEMRName</t>
  </si>
  <si>
    <t>VRFEMRName0</t>
  </si>
  <si>
    <t>AMC</t>
  </si>
  <si>
    <t>DB_VRFORDERBY</t>
  </si>
  <si>
    <t>ORDER BY Pcont.Retrieval_Vendor</t>
  </si>
  <si>
    <t>D02</t>
  </si>
  <si>
    <t>C06</t>
  </si>
  <si>
    <t>D05</t>
  </si>
  <si>
    <t>SELECT Vnd.Vendor_Code, Pcont.Proj_Content_Barcode, Pcont.Proj_Key , COUNT (*) OVER (PARTITION BY Pcont.Retrieval_Vendor)  FROM  Ravas.Rv_Proj_Content Pcont 
INNER JOIN Ravas.Rv_Project Proj ON Pcont.Proj_Key = Proj.Proj_Key  
INNER JOIN Ravas.Rv_Vendor Vnd ON Vnd.Vendor_Name = Pcont.Retrieval_Vendor
AND Retrieval_Request_Status NOT IN ('CLOSED','REQCOMP')
AND Pcont.Proj_Key =</t>
  </si>
  <si>
    <t>05/17/2011</t>
  </si>
  <si>
    <t>COMP</t>
  </si>
  <si>
    <t>10/10/2012</t>
  </si>
  <si>
    <t>TOPROVLENAME04</t>
  </si>
  <si>
    <t>TOPROVFENAME04</t>
  </si>
  <si>
    <t>Tool First Name</t>
  </si>
  <si>
    <t>Tool Last Name</t>
  </si>
  <si>
    <t>Tool Grp Name</t>
  </si>
  <si>
    <t>Tool City</t>
  </si>
  <si>
    <t>Tool CitS</t>
  </si>
  <si>
    <t>&lt;Will Fetch From Tool&gt;</t>
  </si>
  <si>
    <t>Encounter key</t>
  </si>
  <si>
    <t>E&amp;O 4</t>
  </si>
  <si>
    <t>E&amp;O 5</t>
  </si>
  <si>
    <t>E&amp;O 6</t>
  </si>
  <si>
    <t>Dx key</t>
  </si>
  <si>
    <t>Primary dx</t>
  </si>
  <si>
    <t>iCodify</t>
  </si>
  <si>
    <t>Form type</t>
  </si>
  <si>
    <t>PAF ID</t>
  </si>
  <si>
    <t>PDF page number</t>
  </si>
  <si>
    <t>Delete Comment</t>
  </si>
  <si>
    <t>Image status</t>
  </si>
  <si>
    <t>Batch type</t>
  </si>
  <si>
    <t>Note type</t>
  </si>
  <si>
    <t>Coding Reject</t>
  </si>
  <si>
    <t>CODREJ</t>
  </si>
  <si>
    <t>DB_APPENDDXQUERY</t>
  </si>
  <si>
    <t>DB_APPENDDXFILENAME</t>
  </si>
  <si>
    <t>05/05/2013</t>
  </si>
  <si>
    <t>04/04/2012</t>
  </si>
  <si>
    <t>05/09/2013</t>
  </si>
  <si>
    <t>10/11/2012</t>
  </si>
  <si>
    <t>01/11/2013</t>
  </si>
  <si>
    <t>03/07/2013</t>
  </si>
  <si>
    <t>06/25/2013</t>
  </si>
  <si>
    <t>VRFEMRYes1</t>
  </si>
  <si>
    <t>CAPE</t>
  </si>
  <si>
    <t>07/07/2013</t>
  </si>
  <si>
    <t>TRIGGER_CHART5_</t>
  </si>
  <si>
    <t>TRIG05D</t>
  </si>
  <si>
    <t>THIC05D</t>
  </si>
  <si>
    <t>TRI5_ENAME</t>
  </si>
  <si>
    <t>C_BNA_272136345</t>
  </si>
  <si>
    <t>PRFEPAF5</t>
  </si>
  <si>
    <t>PFECHRT5</t>
  </si>
  <si>
    <t>427.81</t>
  </si>
  <si>
    <t>Supplement key</t>
  </si>
  <si>
    <t>Detail Record Identifier</t>
  </si>
  <si>
    <t>Vendor Project Notes</t>
  </si>
  <si>
    <t>2012</t>
  </si>
  <si>
    <t>Business Segment</t>
  </si>
  <si>
    <t>Project Year</t>
  </si>
  <si>
    <t>Expected Project Start Date</t>
  </si>
  <si>
    <t>Expected Project End Date</t>
  </si>
  <si>
    <t>Emerald Project ID</t>
  </si>
  <si>
    <t>Program Review Type</t>
  </si>
  <si>
    <t>Global Member ID</t>
  </si>
  <si>
    <t>Source Member ID</t>
  </si>
  <si>
    <t>Member external ID</t>
  </si>
  <si>
    <t>Member external ID type</t>
  </si>
  <si>
    <t>Member Last Name</t>
  </si>
  <si>
    <t>Member First Name</t>
  </si>
  <si>
    <t>Member Middle Initial</t>
  </si>
  <si>
    <t>Member DOB</t>
  </si>
  <si>
    <t>Member Health Sub-group/plan</t>
  </si>
  <si>
    <t>Global Provider ID</t>
  </si>
  <si>
    <t>Source System Provider ID</t>
  </si>
  <si>
    <t>Provider NPI</t>
  </si>
  <si>
    <t>Provider first name</t>
  </si>
  <si>
    <t>Provider middle initial</t>
  </si>
  <si>
    <t>Provider last name</t>
  </si>
  <si>
    <t>Provider address 1</t>
  </si>
  <si>
    <t>Provider address 2</t>
  </si>
  <si>
    <t>Provider city</t>
  </si>
  <si>
    <t>Provider state</t>
  </si>
  <si>
    <t>Provider Group ID Type</t>
  </si>
  <si>
    <t>First Name of Requestor of this chart/image</t>
  </si>
  <si>
    <t>Last Name of Requestor of this chart/image</t>
  </si>
  <si>
    <t>MEM Lname</t>
  </si>
  <si>
    <t>MEM Fname</t>
  </si>
  <si>
    <t>C</t>
  </si>
  <si>
    <t>AETNA</t>
  </si>
  <si>
    <t>12125 Technology Drive</t>
  </si>
  <si>
    <t>Suite Emerald 2nd Floor</t>
  </si>
  <si>
    <t>Eden Prairie</t>
  </si>
  <si>
    <t>MN</t>
  </si>
  <si>
    <t>55344-4455</t>
  </si>
  <si>
    <t>PROVID_234</t>
  </si>
  <si>
    <t>DEC</t>
  </si>
  <si>
    <t>Fairview Clinics</t>
  </si>
  <si>
    <t>GP_ID_1</t>
  </si>
  <si>
    <t>S24M_2</t>
  </si>
  <si>
    <t>Farhaan</t>
  </si>
  <si>
    <t>Akthar</t>
  </si>
  <si>
    <t>Sachin</t>
  </si>
  <si>
    <t>Mehta</t>
  </si>
  <si>
    <t>Sourav</t>
  </si>
  <si>
    <t>Vardhan</t>
  </si>
  <si>
    <t>Amrish</t>
  </si>
  <si>
    <t>Patel</t>
  </si>
  <si>
    <t>Rajini</t>
  </si>
  <si>
    <t>Sinha</t>
  </si>
  <si>
    <t>GH</t>
  </si>
  <si>
    <t>GF</t>
  </si>
  <si>
    <t>GOOD</t>
  </si>
  <si>
    <t>OOP</t>
  </si>
  <si>
    <t>03/31/1991</t>
  </si>
  <si>
    <t>12/07/1990</t>
  </si>
  <si>
    <t>10/10/1988</t>
  </si>
  <si>
    <t>03/07/1947</t>
  </si>
  <si>
    <t>08/15/1947</t>
  </si>
  <si>
    <t>GPOID_1</t>
  </si>
  <si>
    <t>ID_1</t>
  </si>
  <si>
    <t>GP23ID_1</t>
  </si>
  <si>
    <t>GPOUP</t>
  </si>
  <si>
    <t>23423</t>
  </si>
  <si>
    <t>F_BNA_2</t>
  </si>
  <si>
    <t>C_BTYE_2</t>
  </si>
  <si>
    <t>C_BIT_2</t>
  </si>
  <si>
    <t>C_LO</t>
  </si>
  <si>
    <t>52234</t>
  </si>
  <si>
    <t>1233442336</t>
  </si>
  <si>
    <t>1233442337</t>
  </si>
  <si>
    <t>1233442338</t>
  </si>
  <si>
    <t>1233442339</t>
  </si>
  <si>
    <t>1233442340</t>
  </si>
  <si>
    <t>Gupta</t>
  </si>
  <si>
    <t>Reddy</t>
  </si>
  <si>
    <t>khan</t>
  </si>
  <si>
    <t>Agarwal</t>
  </si>
  <si>
    <t>Choudry</t>
  </si>
  <si>
    <t>PATH</t>
  </si>
  <si>
    <t>MDMD</t>
  </si>
  <si>
    <t>MLA</t>
  </si>
  <si>
    <t>BDS</t>
  </si>
  <si>
    <t>TST</t>
  </si>
  <si>
    <t>CHMN</t>
  </si>
  <si>
    <t>Harsha</t>
  </si>
  <si>
    <t>Krishna</t>
  </si>
  <si>
    <t>Chandra</t>
  </si>
  <si>
    <t>Vishnama</t>
  </si>
  <si>
    <t>Preethi</t>
  </si>
  <si>
    <t>Joshna</t>
  </si>
  <si>
    <t>H.NO-5-8</t>
  </si>
  <si>
    <t>Old-Alwal</t>
  </si>
  <si>
    <t>Hyderabad</t>
  </si>
  <si>
    <t>IL</t>
  </si>
  <si>
    <t>TIN</t>
  </si>
  <si>
    <t>GROUPID</t>
  </si>
  <si>
    <t>NETWORKID</t>
  </si>
  <si>
    <t>Start</t>
  </si>
  <si>
    <t>2</t>
  </si>
  <si>
    <t>3</t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</si>
  <si>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</si>
  <si>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</si>
  <si>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</si>
  <si>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</si>
  <si>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</si>
  <si>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</si>
  <si>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</si>
  <si>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</si>
  <si>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</si>
  <si>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</si>
  <si>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</si>
  <si>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</si>
  <si>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</si>
  <si>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</si>
  <si>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</si>
  <si>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</si>
  <si>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</si>
  <si>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</si>
  <si>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</si>
  <si>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</si>
  <si>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</si>
  <si>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</si>
  <si>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</si>
  <si>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</si>
  <si>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</si>
  <si>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</si>
  <si>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</si>
  <si>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Member gender</t>
  </si>
  <si>
    <t>PBP</t>
  </si>
  <si>
    <t>Patient Account Number</t>
  </si>
  <si>
    <t>Provider TIN</t>
  </si>
  <si>
    <t>Provider fax</t>
  </si>
  <si>
    <t>Provider Type</t>
  </si>
  <si>
    <t>Provider Specialty Code</t>
  </si>
  <si>
    <t>Facility Name</t>
  </si>
  <si>
    <t>Capitated</t>
  </si>
  <si>
    <t>Provider Office/Group Contact Last Name</t>
  </si>
  <si>
    <t>Provider Office/Group Contact First Name</t>
  </si>
  <si>
    <t>Chart Review Contact First name</t>
  </si>
  <si>
    <t>Chart Review Contact Last name</t>
  </si>
  <si>
    <t>Chart Review Contact Address1</t>
  </si>
  <si>
    <t>Chart Review Contact Address2</t>
  </si>
  <si>
    <t>Chart Review Contact City</t>
  </si>
  <si>
    <t>Chart Review Contact State</t>
  </si>
  <si>
    <t>Chart Review Contact Zip</t>
  </si>
  <si>
    <t>Chart Review Contact Phone</t>
  </si>
  <si>
    <t>Chart Review Letter Contact  First name</t>
  </si>
  <si>
    <t>Chart Review Letter Contact  Last name</t>
  </si>
  <si>
    <t>Chart Review Letter Contact Address1</t>
  </si>
  <si>
    <t>Chart Review Letter Contact Address2</t>
  </si>
  <si>
    <t>Chart Review Letter Contact City</t>
  </si>
  <si>
    <t>Chart Review Letter Contact State</t>
  </si>
  <si>
    <t>Chart Review Letter Contact Zip</t>
  </si>
  <si>
    <t>Chart Review Letter Contact Phone</t>
  </si>
  <si>
    <t>Chart Retrieval Contact
First name</t>
  </si>
  <si>
    <t>Chart Retrieval Contact
Last name</t>
  </si>
  <si>
    <t>Chart Retrieval Contact
Address1</t>
  </si>
  <si>
    <t>Chart Retrieval Contact
Address2</t>
  </si>
  <si>
    <t>Chart Retrieval Contact
City</t>
  </si>
  <si>
    <t>Chart Retrieval Contact
State</t>
  </si>
  <si>
    <t>Chart Retrieval Contact
Zip</t>
  </si>
  <si>
    <t>Chart Retrieval Contact
Phone</t>
  </si>
  <si>
    <t>Chart Review Year</t>
  </si>
  <si>
    <t>DOS retrieval start</t>
  </si>
  <si>
    <t>DOS retrieval end</t>
  </si>
  <si>
    <t>On-site coding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</si>
  <si>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</si>
  <si>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</si>
  <si>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</si>
  <si>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</si>
  <si>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</si>
  <si>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</si>
  <si>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</si>
  <si>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</si>
  <si>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</si>
  <si>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</si>
  <si>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</si>
  <si>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</si>
  <si>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</si>
  <si>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</si>
  <si>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Client Tier</t>
  </si>
  <si>
    <t>Optum Tier</t>
  </si>
  <si>
    <t>46</t>
  </si>
  <si>
    <t>47</t>
  </si>
  <si>
    <t>Historical Site ID</t>
  </si>
  <si>
    <t>Ops provider key</t>
  </si>
  <si>
    <t>Supergrouper</t>
  </si>
  <si>
    <t>Group TIN</t>
  </si>
  <si>
    <t>Chart Score Group</t>
  </si>
  <si>
    <t>Retrieval Vendor</t>
  </si>
  <si>
    <t>Member Eligibility Start Date</t>
  </si>
  <si>
    <t>Member Eligibility End Date</t>
  </si>
  <si>
    <t>48</t>
  </si>
  <si>
    <t>49</t>
  </si>
  <si>
    <t>50</t>
  </si>
  <si>
    <t>51</t>
  </si>
  <si>
    <t>52</t>
  </si>
  <si>
    <t>53</t>
  </si>
  <si>
    <t>54</t>
  </si>
  <si>
    <t>55</t>
  </si>
  <si>
    <t>Run date</t>
  </si>
  <si>
    <t>Distribution Method</t>
  </si>
  <si>
    <t>Provider contact name</t>
  </si>
  <si>
    <t>Panel Number</t>
  </si>
  <si>
    <t>InSite group ID</t>
  </si>
  <si>
    <t>InSite Group Name</t>
  </si>
  <si>
    <t>Suspects</t>
  </si>
  <si>
    <t>Supp_HQPAF</t>
  </si>
  <si>
    <t>GUIDELINES TO RUN THE EMERALD Utility</t>
  </si>
  <si>
    <t>EMERALD Utility</t>
  </si>
  <si>
    <t>M</t>
  </si>
  <si>
    <t>F</t>
  </si>
  <si>
    <t>Test PBP_STD</t>
  </si>
  <si>
    <t>PBP Testing</t>
  </si>
  <si>
    <t>PBP Standard</t>
  </si>
  <si>
    <t>Test_Field PBP</t>
  </si>
  <si>
    <t>1314155</t>
  </si>
  <si>
    <t>PBP1231</t>
  </si>
  <si>
    <t>Test LOB_STD</t>
  </si>
  <si>
    <t>LOB Testing</t>
  </si>
  <si>
    <t>LOB Standard</t>
  </si>
  <si>
    <t>Test_Field LOB</t>
  </si>
  <si>
    <t>LOB1231</t>
  </si>
  <si>
    <t>1576714155</t>
  </si>
  <si>
    <t>PAN214</t>
  </si>
  <si>
    <t>512546346</t>
  </si>
  <si>
    <t>PAN_121</t>
  </si>
  <si>
    <t>812892348_Account</t>
  </si>
  <si>
    <t>717347</t>
  </si>
  <si>
    <t>7828099289</t>
  </si>
  <si>
    <t>TIN_STD</t>
  </si>
  <si>
    <t>TIN24214</t>
  </si>
  <si>
    <t>414134134</t>
  </si>
  <si>
    <t>TIN_STD_124</t>
  </si>
  <si>
    <t>23414_TIN</t>
  </si>
  <si>
    <t>8323389</t>
  </si>
  <si>
    <t>7392014759</t>
  </si>
  <si>
    <t>8302749502</t>
  </si>
  <si>
    <t>0913780127</t>
  </si>
  <si>
    <t>8926423090</t>
  </si>
  <si>
    <t>8289228900</t>
  </si>
  <si>
    <t>7823782378</t>
  </si>
  <si>
    <t>HOSP/PROF</t>
  </si>
  <si>
    <t>04</t>
  </si>
  <si>
    <t>99</t>
  </si>
  <si>
    <t>California</t>
  </si>
  <si>
    <t>Minnesota</t>
  </si>
  <si>
    <t>Prov_Office GCL Name1</t>
  </si>
  <si>
    <t>Prov_Office GCF Name1</t>
  </si>
  <si>
    <t>Prov_Office GCL Name2</t>
  </si>
  <si>
    <t>Prov_Office GCL Name3</t>
  </si>
  <si>
    <t>Prov_Office GCL Name4</t>
  </si>
  <si>
    <t>Prov_Office GCL Name5</t>
  </si>
  <si>
    <t>Prov_Office GCL Name6</t>
  </si>
  <si>
    <t>Prov_Office GCF Name2</t>
  </si>
  <si>
    <t>Prov_Office GCF Name3</t>
  </si>
  <si>
    <t>Prov_Office GCF Name4</t>
  </si>
  <si>
    <t>Prov_Office GCF Name5</t>
  </si>
  <si>
    <t>Prov_Office GCF Name6</t>
  </si>
  <si>
    <t>Chart_RevCFN1</t>
  </si>
  <si>
    <t>Chart_RevCLN1</t>
  </si>
  <si>
    <t>Chart_RevCAdd11</t>
  </si>
  <si>
    <t>Chart_RevCAdd21</t>
  </si>
  <si>
    <t>Washington</t>
  </si>
  <si>
    <t>Maschesstets</t>
  </si>
  <si>
    <t>New Jersey</t>
  </si>
  <si>
    <t>Las Vegas</t>
  </si>
  <si>
    <t>TX</t>
  </si>
  <si>
    <t>OH</t>
  </si>
  <si>
    <t>9603769376</t>
  </si>
  <si>
    <t>Chart_RevLCFN1</t>
  </si>
  <si>
    <t>Chart_RevLCLN1</t>
  </si>
  <si>
    <t>Chart_RevLCAdd11</t>
  </si>
  <si>
    <t>Chart_RevLCAdd21</t>
  </si>
  <si>
    <t>76376-2342</t>
  </si>
  <si>
    <t>12631-1141</t>
  </si>
  <si>
    <t>7278238666</t>
  </si>
  <si>
    <t>Chart_RetCFN1</t>
  </si>
  <si>
    <t>Chart_RetCLN1</t>
  </si>
  <si>
    <t>Chart_RetCAdd11</t>
  </si>
  <si>
    <t>Chart_RetCAdd21</t>
  </si>
  <si>
    <t>78378-0909</t>
  </si>
  <si>
    <t>893892920</t>
  </si>
  <si>
    <t>2011</t>
  </si>
  <si>
    <t>01/01/2011</t>
  </si>
  <si>
    <t>02/02/2011</t>
  </si>
  <si>
    <t>AutoGrp10</t>
  </si>
  <si>
    <t>Megagrouper</t>
  </si>
  <si>
    <t>56</t>
  </si>
  <si>
    <t>01/01/2014</t>
  </si>
  <si>
    <t>01/01/2015</t>
  </si>
  <si>
    <t>01/01/2016</t>
  </si>
  <si>
    <t>12/31/2013</t>
  </si>
  <si>
    <t>12/31/2014</t>
  </si>
  <si>
    <t>12/31/2015</t>
  </si>
  <si>
    <t>12/31/2016</t>
  </si>
  <si>
    <t>AutoGrp11</t>
  </si>
  <si>
    <t>AutoGrp12</t>
  </si>
  <si>
    <t>AutoGrp13</t>
  </si>
  <si>
    <t>AutoGrp14</t>
  </si>
  <si>
    <t>AutoGrp15</t>
  </si>
  <si>
    <t>02/02/2012</t>
  </si>
  <si>
    <t>02/02/2013</t>
  </si>
  <si>
    <t>02/02/2014</t>
  </si>
  <si>
    <t>02/02/2015</t>
  </si>
  <si>
    <t>02/02/2016</t>
  </si>
  <si>
    <t>2013</t>
  </si>
  <si>
    <t>2014</t>
  </si>
  <si>
    <t>2015</t>
  </si>
  <si>
    <t>2016</t>
  </si>
  <si>
    <t>78378-0910</t>
  </si>
  <si>
    <t>78378-0911</t>
  </si>
  <si>
    <t>78378-0912</t>
  </si>
  <si>
    <t>78378-0913</t>
  </si>
  <si>
    <t>78378-0914</t>
  </si>
  <si>
    <t>893892921</t>
  </si>
  <si>
    <t>893892922</t>
  </si>
  <si>
    <t>893892923</t>
  </si>
  <si>
    <t>893892924</t>
  </si>
  <si>
    <t>893892925</t>
  </si>
  <si>
    <t>Chart_RetCFN2</t>
  </si>
  <si>
    <t>Chart_RetCFN3</t>
  </si>
  <si>
    <t>Chart_RetCFN4</t>
  </si>
  <si>
    <t>Chart_RetCFN5</t>
  </si>
  <si>
    <t>Chart_RetCFN6</t>
  </si>
  <si>
    <t>Chart_RetCAdd22</t>
  </si>
  <si>
    <t>Chart_RetCAdd23</t>
  </si>
  <si>
    <t>Chart_RetCAdd24</t>
  </si>
  <si>
    <t>Chart_RetCAdd25</t>
  </si>
  <si>
    <t>Chart_RetCAdd26</t>
  </si>
  <si>
    <t>7278238667</t>
  </si>
  <si>
    <t>76376-2343</t>
  </si>
  <si>
    <t>76376-2344</t>
  </si>
  <si>
    <t>76376-2345</t>
  </si>
  <si>
    <t>76376-2346</t>
  </si>
  <si>
    <t>76376-2347</t>
  </si>
  <si>
    <t>Chart_RevLCLN2</t>
  </si>
  <si>
    <t>Chart_RevLCLN3</t>
  </si>
  <si>
    <t>Chart_RevLCLN4</t>
  </si>
  <si>
    <t>Chart_RevLCLN5</t>
  </si>
  <si>
    <t>Chart_RevLCLN6</t>
  </si>
  <si>
    <t>Chart_RevLCAdd12</t>
  </si>
  <si>
    <t>Chart_RevLCAdd13</t>
  </si>
  <si>
    <t>Chart_RevLCAdd14</t>
  </si>
  <si>
    <t>Chart_RevLCAdd15</t>
  </si>
  <si>
    <t>Chart_RevLCAdd16</t>
  </si>
  <si>
    <t>Chart_RevLCAdd22</t>
  </si>
  <si>
    <t>Chart_RevLCAdd23</t>
  </si>
  <si>
    <t>Chart_RevLCAdd24</t>
  </si>
  <si>
    <t>Chart_RevLCAdd25</t>
  </si>
  <si>
    <t>Chart_RevLCAdd26</t>
  </si>
  <si>
    <t>Chart_RevLCFN2</t>
  </si>
  <si>
    <t>Chart_RevLCFN3</t>
  </si>
  <si>
    <t>Chart_RevLCFN4</t>
  </si>
  <si>
    <t>Chart_RevLCFN5</t>
  </si>
  <si>
    <t>Chart_RevLCFN6</t>
  </si>
  <si>
    <t>9603769377</t>
  </si>
  <si>
    <t>9603769378</t>
  </si>
  <si>
    <t>12631-1142</t>
  </si>
  <si>
    <t>12631-1143</t>
  </si>
  <si>
    <t>12631-1144</t>
  </si>
  <si>
    <t>12631-1145</t>
  </si>
  <si>
    <t>12631-1146</t>
  </si>
  <si>
    <t>Chart_RevCAdd12</t>
  </si>
  <si>
    <t>Chart_RevCAdd13</t>
  </si>
  <si>
    <t>Chart_RevCAdd14</t>
  </si>
  <si>
    <t>Chart_RevCAdd15</t>
  </si>
  <si>
    <t>Chart_RevCAdd16</t>
  </si>
  <si>
    <t>Chart_RevCAdd22</t>
  </si>
  <si>
    <t>Chart_RevCAdd23</t>
  </si>
  <si>
    <t>Chart_RevCAdd24</t>
  </si>
  <si>
    <t>Chart_RevCAdd25</t>
  </si>
  <si>
    <t>Chart_RevCAdd26</t>
  </si>
  <si>
    <t>Field_Name</t>
  </si>
  <si>
    <t>Field_Description</t>
  </si>
  <si>
    <t>Field_Data</t>
  </si>
  <si>
    <t>Field_Color_Code</t>
  </si>
  <si>
    <t>To Append the data at the beginning of the Field</t>
  </si>
  <si>
    <t>To Append the data at the Last of the Field</t>
  </si>
  <si>
    <t>Please add all the Valid Programs to be displayed in the List for Supplement File</t>
  </si>
  <si>
    <t>S.NO</t>
  </si>
  <si>
    <t>Please add all the Valid Programs to be displayed in the List for Supplement File in the Tab Project Data as Header (Mapping One - One) to the above respective field and make sure Data supplied should be a Column Name in the Project Data Tab</t>
  </si>
  <si>
    <t>PROGRAM_LIST_UI</t>
  </si>
  <si>
    <t>PROGRAM_LIST_TOOL</t>
  </si>
  <si>
    <t>APPEND_FIRST_ALP</t>
  </si>
  <si>
    <t>APPEND_LAST_ALP</t>
  </si>
  <si>
    <t>APPEND_FIRST_NUM</t>
  </si>
  <si>
    <t>APPEND_LAST_NUM</t>
  </si>
  <si>
    <t>EVCC</t>
  </si>
  <si>
    <t>EVCI</t>
  </si>
  <si>
    <t>ELP</t>
  </si>
  <si>
    <t>GOLD</t>
  </si>
  <si>
    <t>SILVER</t>
  </si>
  <si>
    <t>PLATINUM</t>
  </si>
  <si>
    <t>EMERALD</t>
  </si>
  <si>
    <t>DIAMOND</t>
  </si>
  <si>
    <t>FUSION</t>
  </si>
  <si>
    <t>DIABETES</t>
  </si>
  <si>
    <t>OTHER</t>
  </si>
  <si>
    <t>Length</t>
  </si>
  <si>
    <t>EVCT</t>
  </si>
  <si>
    <t>UCR</t>
  </si>
  <si>
    <t>UCARE</t>
  </si>
  <si>
    <t>BRVO</t>
  </si>
  <si>
    <t>EMERALD TEST DATA</t>
  </si>
  <si>
    <t>EMERALD TOOL SETTINGS</t>
  </si>
  <si>
    <t>(Details/DTL) Count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</si>
  <si>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</si>
  <si>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</si>
  <si>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</si>
  <si>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</si>
  <si>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</si>
  <si>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</si>
  <si>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</si>
  <si>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</si>
  <si>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</si>
  <si>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</si>
  <si>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</si>
  <si>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</si>
  <si>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</si>
  <si>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</si>
  <si>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</si>
  <si>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</si>
  <si>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</si>
  <si>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</si>
  <si>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</si>
  <si>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</si>
  <si>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</si>
  <si>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</si>
  <si>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</si>
  <si>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</si>
  <si>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</si>
  <si>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 xml:space="preserve">Comment Test1 </t>
  </si>
  <si>
    <t>Comment Test2</t>
  </si>
  <si>
    <t>Comment Test3</t>
  </si>
  <si>
    <t>Comment Test4</t>
  </si>
  <si>
    <t>Comment Test5</t>
  </si>
  <si>
    <t>Comment Test6</t>
  </si>
  <si>
    <t>Member contract number</t>
  </si>
  <si>
    <t>Provider email</t>
  </si>
  <si>
    <t>Test@optum.com</t>
  </si>
  <si>
    <t>HIC@UHG.com</t>
  </si>
  <si>
    <t>Prov1@gmail.com</t>
  </si>
  <si>
    <t>Testagain@yahoo.co.in</t>
  </si>
  <si>
    <t>Tuve@rocher.in</t>
  </si>
  <si>
    <t>Mem@Prov.org</t>
  </si>
  <si>
    <t>HOSP</t>
  </si>
  <si>
    <t>Chart Ops_Internal Project ID</t>
  </si>
  <si>
    <t>82</t>
  </si>
  <si>
    <t>Provider Contact Phone</t>
  </si>
  <si>
    <t>8122736907</t>
  </si>
  <si>
    <t>MT</t>
  </si>
  <si>
    <t>NH</t>
  </si>
  <si>
    <t>NC</t>
  </si>
  <si>
    <t>CO</t>
  </si>
  <si>
    <t>NE</t>
  </si>
  <si>
    <t>AL</t>
  </si>
  <si>
    <t>AR</t>
  </si>
  <si>
    <t>OK</t>
  </si>
  <si>
    <t>WA</t>
  </si>
  <si>
    <t>SC</t>
  </si>
  <si>
    <t>RI</t>
  </si>
  <si>
    <t>WY</t>
  </si>
  <si>
    <t>UT</t>
  </si>
  <si>
    <t>DE</t>
  </si>
  <si>
    <t>AZ</t>
  </si>
  <si>
    <t>GA</t>
  </si>
  <si>
    <t>SD</t>
  </si>
  <si>
    <t>VT</t>
  </si>
  <si>
    <t>PR</t>
  </si>
  <si>
    <t>CT</t>
  </si>
  <si>
    <t>MA</t>
  </si>
  <si>
    <t>KS</t>
  </si>
  <si>
    <t>WINDSOR</t>
  </si>
  <si>
    <t>ELDERPLAN</t>
  </si>
  <si>
    <t>MTC</t>
  </si>
  <si>
    <t>UOV</t>
  </si>
  <si>
    <t>HMID_</t>
  </si>
  <si>
    <t>H_1T_</t>
  </si>
  <si>
    <t>HUD_</t>
  </si>
  <si>
    <t>3123_</t>
  </si>
  <si>
    <t>68_CR_</t>
  </si>
  <si>
    <t>HEM_2</t>
  </si>
  <si>
    <t>HEMBER_2</t>
  </si>
  <si>
    <t>3342</t>
  </si>
  <si>
    <t>338GD_</t>
  </si>
  <si>
    <t>Supp_STOR</t>
  </si>
  <si>
    <t>9242340959</t>
  </si>
  <si>
    <t>Supp_CR</t>
  </si>
  <si>
    <t>Dhan Jvdo</t>
  </si>
  <si>
    <t>CVT</t>
  </si>
  <si>
    <t>TEST</t>
  </si>
  <si>
    <t>ID-12</t>
  </si>
  <si>
    <t>Thomas</t>
  </si>
  <si>
    <t>shibu</t>
  </si>
  <si>
    <t>S</t>
  </si>
  <si>
    <t>08/11/1959</t>
  </si>
  <si>
    <t>1104</t>
  </si>
  <si>
    <t>12345-0000</t>
  </si>
  <si>
    <t>Barclay</t>
  </si>
  <si>
    <t>MS</t>
  </si>
  <si>
    <t>2001</t>
  </si>
  <si>
    <t>01/01/2001</t>
  </si>
  <si>
    <t>Image_Req, Frst Name.</t>
  </si>
  <si>
    <t>Image Req, Lst_Name.</t>
  </si>
  <si>
    <t>Testing in START File CR</t>
  </si>
  <si>
    <t>Laxmi</t>
  </si>
  <si>
    <t>CD</t>
  </si>
  <si>
    <t>OPTUMORG_GOOD</t>
  </si>
  <si>
    <t>Comment Test7</t>
  </si>
  <si>
    <t>83</t>
  </si>
  <si>
    <t>G-56_</t>
  </si>
  <si>
    <t>CIGNA</t>
  </si>
  <si>
    <t>ENTERPRISE CONSULTING SOLUTIONS</t>
  </si>
  <si>
    <t>PROF</t>
  </si>
  <si>
    <t>PROF/MED</t>
  </si>
  <si>
    <t xml:space="preserve">Claims Source 1 </t>
  </si>
  <si>
    <t>Claims Source 1 provider ID</t>
  </si>
  <si>
    <t>Claims Source 2</t>
  </si>
  <si>
    <t>Claims Source 2 provider ID</t>
  </si>
  <si>
    <t>KYUVLSYW1</t>
  </si>
  <si>
    <t>UIILUIDU</t>
  </si>
  <si>
    <t>UIONCWPO</t>
  </si>
  <si>
    <t>CYAWPDLMFW</t>
  </si>
  <si>
    <t>EALTH Prov ID</t>
  </si>
  <si>
    <t>YIVUBOIHDW</t>
  </si>
  <si>
    <t>IONVNPNVE</t>
  </si>
  <si>
    <t>UCBWEONVOEN</t>
  </si>
  <si>
    <t>PIVEPOMNIWC</t>
  </si>
  <si>
    <t>HATLT PROV ID</t>
  </si>
  <si>
    <t>MATHO Prov ID</t>
  </si>
  <si>
    <t>YVDS Prov ID</t>
  </si>
  <si>
    <t>Test Prov ID</t>
  </si>
  <si>
    <t>Prov ID</t>
  </si>
  <si>
    <t>Hello Prov ID</t>
  </si>
  <si>
    <t>UHC C-S</t>
  </si>
  <si>
    <t>COVENTRY</t>
  </si>
  <si>
    <t>UNI</t>
  </si>
  <si>
    <t>AET</t>
  </si>
  <si>
    <t>HN</t>
  </si>
  <si>
    <t>HEALTH NET</t>
  </si>
  <si>
    <t>HNON</t>
  </si>
  <si>
    <t>MOUNT CARMEL</t>
  </si>
  <si>
    <t>UHC M-R</t>
  </si>
  <si>
    <t>JDR</t>
  </si>
  <si>
    <t>SRA</t>
  </si>
  <si>
    <t>WEST</t>
  </si>
  <si>
    <t>EAST</t>
  </si>
  <si>
    <t>PFFS</t>
  </si>
  <si>
    <t>OXF</t>
  </si>
  <si>
    <t>HNP</t>
  </si>
  <si>
    <t>PCP</t>
  </si>
  <si>
    <t>PDP</t>
  </si>
  <si>
    <t>XLH</t>
  </si>
  <si>
    <t>TFT</t>
  </si>
  <si>
    <t>STATUS_LIST_UI</t>
  </si>
  <si>
    <t>Please add all the valid Retrieval Status to be displayed in the UI window of the popup so that appropriate Chart Generation can be made</t>
  </si>
  <si>
    <t>Gov~4444</t>
  </si>
  <si>
    <t>External Client Request ID</t>
  </si>
  <si>
    <t>PAF/ChartFinder project ID</t>
  </si>
  <si>
    <t>Supp_PAF</t>
  </si>
  <si>
    <t>Supp_PAF_HQ</t>
  </si>
  <si>
    <t>Supp_CAPE</t>
  </si>
  <si>
    <t>Supp_HQCAPE</t>
  </si>
  <si>
    <t>05/31/2015</t>
  </si>
  <si>
    <t>04/30/2016</t>
  </si>
  <si>
    <t>HMSA</t>
  </si>
  <si>
    <t>MEDICA</t>
  </si>
  <si>
    <t>NAMM</t>
  </si>
  <si>
    <t>TUFTS</t>
  </si>
  <si>
    <t>MDCA</t>
  </si>
  <si>
    <t>610AHCP</t>
  </si>
  <si>
    <t>610AMHP</t>
  </si>
  <si>
    <t>610ANTH</t>
  </si>
  <si>
    <t>610BADV</t>
  </si>
  <si>
    <t>610BLCR</t>
  </si>
  <si>
    <t>610BLSH</t>
  </si>
  <si>
    <t>610BPS</t>
  </si>
  <si>
    <t>610CAAM</t>
  </si>
  <si>
    <t>610CARE</t>
  </si>
  <si>
    <t>610CHG</t>
  </si>
  <si>
    <t>610CIGN</t>
  </si>
  <si>
    <t>610DEFAULT</t>
  </si>
  <si>
    <t>610ECHP</t>
  </si>
  <si>
    <t>610FHS</t>
  </si>
  <si>
    <t>610GALO</t>
  </si>
  <si>
    <t>610H123</t>
  </si>
  <si>
    <t>610HDIR</t>
  </si>
  <si>
    <t>610HHP</t>
  </si>
  <si>
    <t>610HMAX</t>
  </si>
  <si>
    <t>610HMOC</t>
  </si>
  <si>
    <t>610HNET</t>
  </si>
  <si>
    <t>610HPRW</t>
  </si>
  <si>
    <t>610HSOR</t>
  </si>
  <si>
    <t>610HUMA</t>
  </si>
  <si>
    <t>610IEHP</t>
  </si>
  <si>
    <t>610IVHP</t>
  </si>
  <si>
    <t>610LGHP</t>
  </si>
  <si>
    <t>610MAXI</t>
  </si>
  <si>
    <t>610MCAR</t>
  </si>
  <si>
    <t>610MET</t>
  </si>
  <si>
    <t>610MHHP</t>
  </si>
  <si>
    <t>610MOHP</t>
  </si>
  <si>
    <t>610MUTO</t>
  </si>
  <si>
    <t>610NHP</t>
  </si>
  <si>
    <t>610NWHN</t>
  </si>
  <si>
    <t>610OMNI</t>
  </si>
  <si>
    <t>610ONEH</t>
  </si>
  <si>
    <t>610OXHP</t>
  </si>
  <si>
    <t>610PACC</t>
  </si>
  <si>
    <t>610PCA</t>
  </si>
  <si>
    <t>610PCAR</t>
  </si>
  <si>
    <t>610PHCS</t>
  </si>
  <si>
    <t>610PRIN</t>
  </si>
  <si>
    <t>610PRUD</t>
  </si>
  <si>
    <t>610SCAN</t>
  </si>
  <si>
    <t>610SHP</t>
  </si>
  <si>
    <t>610TOWR</t>
  </si>
  <si>
    <t>610UNIT</t>
  </si>
  <si>
    <t>610UNVS</t>
  </si>
  <si>
    <t>610USHC</t>
  </si>
  <si>
    <t>Chart Ops</t>
  </si>
  <si>
    <t>Test</t>
  </si>
  <si>
    <t>Correct</t>
  </si>
  <si>
    <t>01/01/2017</t>
  </si>
  <si>
    <t>12/31/2017</t>
  </si>
  <si>
    <t>88</t>
  </si>
  <si>
    <t>HICNO01</t>
  </si>
  <si>
    <t>Medicare</t>
  </si>
  <si>
    <t>Supp_CR, Supp_HCR, Supp_PAF, Supp_HQPAF, Supp_HQCAPE, Supp_PAF_HQ, Supp_CAPE,  Supp_STOR</t>
  </si>
  <si>
    <t>Supp_HCR</t>
  </si>
  <si>
    <t>Barcode a/k/a chart request ID created when loaded project</t>
  </si>
  <si>
    <t>Work Item #</t>
  </si>
  <si>
    <t>Reason</t>
  </si>
  <si>
    <t>Image page number</t>
  </si>
  <si>
    <t>Medical Record Type</t>
  </si>
  <si>
    <t>E&amp;O Code 1</t>
  </si>
  <si>
    <t>E&amp;O Code 2</t>
  </si>
  <si>
    <t>E&amp;O Code 3</t>
  </si>
  <si>
    <t>E&amp;O Code 4</t>
  </si>
  <si>
    <t>E&amp;O Code 5</t>
  </si>
  <si>
    <t>E&amp;O Code 6</t>
  </si>
  <si>
    <t>E&amp;O Code 7</t>
  </si>
  <si>
    <t>ICD-CODE</t>
  </si>
  <si>
    <t>Inferred Dx</t>
  </si>
  <si>
    <t>AAA Rec Count</t>
  </si>
  <si>
    <t>BBB Rec Count</t>
  </si>
  <si>
    <t>O</t>
  </si>
  <si>
    <t>H</t>
  </si>
  <si>
    <t>1893791232</t>
  </si>
  <si>
    <t>DX Rend Prov F Name</t>
  </si>
  <si>
    <t>DX Rend Prov M Initial</t>
  </si>
  <si>
    <t>DX Rend Prov L Name</t>
  </si>
  <si>
    <t>DX Rend Prov G Name</t>
  </si>
  <si>
    <t>DX Rend Prov Add1</t>
  </si>
  <si>
    <t>DX Rend Prov Add2</t>
  </si>
  <si>
    <t>DX Rend Prov City</t>
  </si>
  <si>
    <t>7812381232</t>
  </si>
  <si>
    <t>0934090219</t>
  </si>
  <si>
    <t>Rend_Prov.Non_Existent@Optum.com</t>
  </si>
  <si>
    <t>Rend Prov</t>
  </si>
  <si>
    <t>D25</t>
  </si>
  <si>
    <t>D26</t>
  </si>
  <si>
    <t>D09</t>
  </si>
  <si>
    <t>DB_EXTCODINGVENDORS</t>
  </si>
  <si>
    <t>SELECT Vendor_Name FROM Gcmg.Gcm_Vendor
WHERE (Is_Internal_Vendor NOT IN ('Y') Or Is_Internal_Vendor IS NULL)
AND Org_Location In ('ONSHORE')
ORDER BY Vendor_Name</t>
  </si>
  <si>
    <t>DXINBOUND</t>
  </si>
  <si>
    <t>DB_YEARDIFF</t>
  </si>
  <si>
    <t>200</t>
  </si>
  <si>
    <t>04/05/2013</t>
  </si>
  <si>
    <t>05/04/2013</t>
  </si>
  <si>
    <t>08/08/2013</t>
  </si>
  <si>
    <t>09/09/2013</t>
  </si>
  <si>
    <t>10/05/2013</t>
  </si>
  <si>
    <t>12/04/2013</t>
  </si>
  <si>
    <t>05/07/2014</t>
  </si>
  <si>
    <t>28/02/2013</t>
  </si>
  <si>
    <t>07/07/2014</t>
  </si>
  <si>
    <t>I</t>
  </si>
  <si>
    <t>IPC</t>
  </si>
  <si>
    <t>D27</t>
  </si>
  <si>
    <t>02/05/2013</t>
  </si>
  <si>
    <t>114.4</t>
  </si>
  <si>
    <t>ChartFinder ID</t>
  </si>
  <si>
    <t>GoodFind</t>
  </si>
  <si>
    <t>NextFind</t>
  </si>
  <si>
    <t>SentOne</t>
  </si>
  <si>
    <t>YesDone</t>
  </si>
  <si>
    <t>NoWait</t>
  </si>
  <si>
    <t>PAF_V1</t>
  </si>
  <si>
    <t>SELECT A.gcm_proj_key, B.Gcm_Program_Name, c.vendor_code, D.External_Client_Request_Id, A.gcm_proj_content_barcode
FROM gcmg.gcm_proj_cont_bus_func_vendor A, Gcmg.Gcm_program_list B, Gcmg.gcm_vendor C, Gcmg.Gcm_Proj_content D
WHERE A.Gcm_Program_key = B.Gcm_Program_key
AND A.Gcm_Project_content_key = D.Gcm_Project_content_key
AND c.gcm_vendor_key = A.gcm_vendor_key (+)
AND A.gcm_proj_key =:ProjectKey</t>
  </si>
  <si>
    <t>UAT</t>
  </si>
  <si>
    <t>SYS</t>
  </si>
  <si>
    <t>STG</t>
  </si>
  <si>
    <t>dbsld0024.uhc.com</t>
  </si>
  <si>
    <t>dbsls0132</t>
  </si>
  <si>
    <t>rdvts02svc.uhc.com</t>
  </si>
  <si>
    <t xml:space="preserve"> rdvts01svc.uhc.com</t>
  </si>
  <si>
    <t>rdvst01svc_app.uhc.com</t>
  </si>
  <si>
    <t>DEV</t>
  </si>
  <si>
    <t>dbsld0023.uhc.com</t>
  </si>
  <si>
    <t>rdvdv01svc.uhc.com</t>
  </si>
  <si>
    <t>gcmg</t>
  </si>
  <si>
    <t>WalkingFence2013</t>
  </si>
  <si>
    <t>UHG_000706040</t>
  </si>
  <si>
    <t>Uhg789!1</t>
  </si>
  <si>
    <t>Praveen_99</t>
  </si>
  <si>
    <t>UHG_000930948</t>
  </si>
  <si>
    <t>UHG_000799054</t>
  </si>
  <si>
    <t>Mrm~2015</t>
  </si>
  <si>
    <t>D08</t>
  </si>
  <si>
    <t>D10</t>
  </si>
  <si>
    <t>HCRTEST</t>
  </si>
  <si>
    <t>CANCELED,CNA,CNAFINAL,DUPLICATE,EXTRATOVEN,INACTIVATED,NEW,PASTDUE,PNP,PNPFINAL,PNPRELEASE,RECVD,REJRETQA,RELEASED,RETVD,UNSCHEDULED</t>
  </si>
  <si>
    <t>CR,HCR,PAF,HQPAF,HQCAPE,PAF_HQ,CAPE, STOR</t>
  </si>
  <si>
    <t>SELECT A.Gcm_Proj_key Project_Id, A.Gcm_proj_content_barcode Barcode, A.Gcm_Proj_Cont_Bus_func_Ven_key Work_Item, B.Vendor_Name, B.Vendor_code
FROM Gcmg.Gcm_Proj_Cont_bus_func_vendor A, Gcmg.Gcm_vendor B
WHERE A.Gcm_Vendor_key = B.Gcm_Vendor_key
AND B.Is_Internal_Vendor = 'N'
AND A.Gcm_Business_Func_key IN (2, 11)
AND A.Gcm_Business_Segment = 'MCARE'
AND A.Gcm_Bus_Func_Status IN ('INPROGRESS', 'CREATED')
And A.Gcm_Program_Key IN (3, 11) &lt;REPLACE CODE&gt;
ORDER BY B.Vendor_Name, A.Gcm_Proj_Cont_Bus_func_Ven_key</t>
  </si>
  <si>
    <t>03/03/2013</t>
  </si>
  <si>
    <t>ACA</t>
  </si>
  <si>
    <t>EMERALD_AUTOMATION_STG</t>
  </si>
  <si>
    <t>CR</t>
  </si>
  <si>
    <t>Mrm~2016</t>
  </si>
  <si>
    <t>HE</t>
  </si>
  <si>
    <t>ZJ</t>
  </si>
  <si>
    <t>dbsls0133.uhc.com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</si>
</sst>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10"/>
      <name val="Calibri"/>
      <family val="2"/>
      <scheme val="minor"/>
    </font>
    <font>
      <b/>
      <sz val="20"/>
      <color rgb="FFFF0000"/>
      <name val="Bradley Hand ITC"/>
      <family val="4"/>
    </font>
    <font>
      <b/>
      <sz val="11"/>
      <color theme="9" tint="-0.249977111117893"/>
      <name val="Calibri"/>
      <family val="2"/>
      <scheme val="minor"/>
    </font>
    <font>
      <sz val="8"/>
      <color theme="1"/>
      <name val="Arial"/>
      <family val="2"/>
    </font>
    <font>
      <b/>
      <u/>
      <sz val="11"/>
      <color rgb="FFFF808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0" borderId="0" xfId="0" applyFill="1" applyAlignment="1"/>
    <xf numFmtId="0" fontId="1" fillId="0" borderId="1" xfId="0" applyFont="1" applyBorder="1" applyAlignment="1" applyProtection="1">
      <alignment wrapText="1"/>
    </xf>
    <xf numFmtId="0" fontId="1" fillId="0" borderId="1" xfId="0" applyFont="1" applyFill="1" applyBorder="1" applyAlignment="1" applyProtection="1">
      <alignment wrapText="1"/>
    </xf>
    <xf numFmtId="0" fontId="1" fillId="0" borderId="1" xfId="0" applyFont="1" applyBorder="1" applyAlignment="1" applyProtection="1"/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49" fontId="0" fillId="0" borderId="1" xfId="0" applyNumberFormat="1" applyBorder="1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2" xfId="0" applyFill="1" applyBorder="1" applyAlignment="1" applyProtection="1">
      <alignment wrapText="1"/>
      <protection locked="0"/>
    </xf>
    <xf numFmtId="0" fontId="2" fillId="5" borderId="1" xfId="0" applyFont="1" applyFill="1" applyBorder="1" applyAlignment="1">
      <alignment wrapText="1"/>
    </xf>
    <xf numFmtId="2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49" fontId="0" fillId="0" borderId="1" xfId="0" applyNumberFormat="1" applyBorder="1" applyAlignment="1" applyProtection="1">
      <alignment horizontal="left"/>
      <protection locked="0"/>
    </xf>
    <xf numFmtId="0" fontId="0" fillId="0" borderId="1" xfId="0" applyFill="1" applyBorder="1" applyProtection="1">
      <protection locked="0"/>
    </xf>
    <xf numFmtId="49" fontId="0" fillId="0" borderId="1" xfId="0" applyNumberFormat="1" applyBorder="1"/>
    <xf numFmtId="0" fontId="1" fillId="0" borderId="3" xfId="0" applyFont="1" applyFill="1" applyBorder="1" applyAlignment="1" applyProtection="1">
      <alignment wrapText="1"/>
    </xf>
    <xf numFmtId="0" fontId="0" fillId="0" borderId="1" xfId="0" applyNumberFormat="1" applyBorder="1"/>
    <xf numFmtId="0" fontId="0" fillId="0" borderId="1" xfId="0" applyBorder="1"/>
    <xf numFmtId="49" fontId="0" fillId="0" borderId="4" xfId="0" applyNumberFormat="1" applyBorder="1" applyAlignment="1" applyProtection="1">
      <alignment wrapText="1"/>
      <protection locked="0"/>
    </xf>
    <xf numFmtId="49" fontId="0" fillId="0" borderId="5" xfId="0" applyNumberFormat="1" applyBorder="1" applyAlignment="1" applyProtection="1">
      <alignment wrapText="1"/>
      <protection locked="0"/>
    </xf>
    <xf numFmtId="49" fontId="0" fillId="9" borderId="1" xfId="0" applyNumberFormat="1" applyFill="1" applyBorder="1" applyAlignment="1" applyProtection="1">
      <alignment wrapText="1"/>
      <protection locked="0"/>
    </xf>
    <xf numFmtId="0" fontId="1" fillId="9" borderId="1" xfId="0" applyFont="1" applyFill="1" applyBorder="1" applyAlignment="1" applyProtection="1">
      <alignment wrapText="1"/>
    </xf>
    <xf numFmtId="0" fontId="0" fillId="9" borderId="1" xfId="0" applyFill="1" applyBorder="1" applyAlignment="1" applyProtection="1">
      <alignment wrapText="1"/>
      <protection locked="0"/>
    </xf>
    <xf numFmtId="0" fontId="0" fillId="9" borderId="1" xfId="0" applyFill="1" applyBorder="1" applyAlignment="1" applyProtection="1">
      <alignment horizontal="left" wrapText="1"/>
      <protection locked="0"/>
    </xf>
    <xf numFmtId="0" fontId="1" fillId="0" borderId="1" xfId="0" applyFont="1" applyFill="1" applyBorder="1" applyAlignment="1" applyProtection="1"/>
    <xf numFmtId="0" fontId="0" fillId="3" borderId="1" xfId="0" applyFill="1" applyBorder="1" applyAlignment="1"/>
    <xf numFmtId="0" fontId="6" fillId="0" borderId="2" xfId="0" applyFont="1" applyBorder="1" applyAlignment="1">
      <alignment wrapText="1"/>
    </xf>
    <xf numFmtId="0" fontId="7" fillId="0" borderId="1" xfId="0" applyFont="1" applyBorder="1" applyAlignment="1">
      <alignment wrapText="1"/>
    </xf>
    <xf numFmtId="0" fontId="8" fillId="0" borderId="1" xfId="0" applyFont="1" applyBorder="1" applyAlignment="1">
      <alignment wrapText="1"/>
    </xf>
    <xf numFmtId="0" fontId="9" fillId="0" borderId="2" xfId="0" applyFont="1" applyBorder="1" applyAlignment="1">
      <alignment wrapText="1"/>
    </xf>
    <xf numFmtId="0" fontId="9" fillId="0" borderId="1" xfId="0" applyFont="1" applyBorder="1" applyAlignment="1">
      <alignment wrapText="1"/>
    </xf>
    <xf numFmtId="0" fontId="10" fillId="0" borderId="2" xfId="0" applyFont="1" applyBorder="1" applyAlignment="1">
      <alignment wrapText="1"/>
    </xf>
    <xf numFmtId="0" fontId="11" fillId="0" borderId="2" xfId="0" applyFont="1" applyBorder="1" applyAlignment="1">
      <alignment wrapText="1"/>
    </xf>
    <xf numFmtId="0" fontId="11" fillId="0" borderId="1" xfId="0" applyFont="1" applyBorder="1" applyAlignment="1">
      <alignment wrapText="1"/>
    </xf>
    <xf numFmtId="0" fontId="12" fillId="0" borderId="1" xfId="0" applyFont="1" applyBorder="1" applyAlignment="1">
      <alignment wrapText="1"/>
    </xf>
    <xf numFmtId="0" fontId="13" fillId="0" borderId="1" xfId="0" applyFont="1" applyBorder="1" applyAlignment="1">
      <alignment wrapText="1"/>
    </xf>
    <xf numFmtId="0" fontId="0" fillId="10" borderId="1" xfId="0" applyFill="1" applyBorder="1"/>
    <xf numFmtId="0" fontId="0" fillId="0" borderId="1" xfId="0" applyFill="1" applyBorder="1" applyAlignment="1" applyProtection="1">
      <alignment wrapText="1"/>
      <protection locked="0"/>
    </xf>
    <xf numFmtId="49" fontId="1" fillId="11" borderId="1" xfId="0" applyNumberFormat="1" applyFont="1" applyFill="1" applyBorder="1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0" xfId="0" applyBorder="1"/>
    <xf numFmtId="0" fontId="1" fillId="0" borderId="1" xfId="0" applyFont="1" applyBorder="1"/>
    <xf numFmtId="0" fontId="0" fillId="12" borderId="1" xfId="0" applyFill="1" applyBorder="1"/>
    <xf numFmtId="49" fontId="0" fillId="0" borderId="0" xfId="0" applyNumberFormat="1"/>
    <xf numFmtId="0" fontId="0" fillId="13" borderId="1" xfId="0" applyFill="1" applyBorder="1"/>
    <xf numFmtId="49" fontId="0" fillId="0" borderId="1" xfId="0" applyNumberFormat="1" applyBorder="1" applyAlignment="1" applyProtection="1">
      <protection locked="0"/>
    </xf>
    <xf numFmtId="49" fontId="0" fillId="0" borderId="1" xfId="0" applyNumberFormat="1" applyBorder="1" applyAlignment="1"/>
    <xf numFmtId="0" fontId="0" fillId="0" borderId="1" xfId="0" applyBorder="1" applyAlignment="1"/>
    <xf numFmtId="0" fontId="2" fillId="5" borderId="1" xfId="0" applyFont="1" applyFill="1" applyBorder="1" applyAlignment="1"/>
    <xf numFmtId="49" fontId="1" fillId="0" borderId="1" xfId="0" applyNumberFormat="1" applyFont="1" applyBorder="1" applyAlignment="1" applyProtection="1"/>
    <xf numFmtId="49" fontId="0" fillId="0" borderId="0" xfId="0" applyNumberFormat="1" applyAlignment="1"/>
    <xf numFmtId="0" fontId="0" fillId="0" borderId="1" xfId="0" applyFill="1" applyBorder="1" applyAlignment="1"/>
    <xf numFmtId="49" fontId="0" fillId="3" borderId="1" xfId="0" applyNumberFormat="1" applyFill="1" applyBorder="1" applyAlignment="1"/>
    <xf numFmtId="0" fontId="0" fillId="0" borderId="1" xfId="0" applyFill="1" applyBorder="1" applyAlignment="1" applyProtection="1">
      <protection locked="0"/>
    </xf>
    <xf numFmtId="49" fontId="0" fillId="2" borderId="1" xfId="0" applyNumberFormat="1" applyFill="1" applyBorder="1" applyAlignment="1"/>
    <xf numFmtId="49" fontId="0" fillId="4" borderId="1" xfId="0" applyNumberFormat="1" applyFill="1" applyBorder="1" applyAlignment="1"/>
    <xf numFmtId="0" fontId="0" fillId="0" borderId="2" xfId="0" applyBorder="1"/>
    <xf numFmtId="0" fontId="1" fillId="0" borderId="9" xfId="0" applyFont="1" applyBorder="1"/>
    <xf numFmtId="0" fontId="1" fillId="0" borderId="10" xfId="0" applyFont="1" applyBorder="1"/>
    <xf numFmtId="0" fontId="0" fillId="14" borderId="2" xfId="0" applyFill="1" applyBorder="1"/>
    <xf numFmtId="0" fontId="0" fillId="11" borderId="1" xfId="0" applyFill="1" applyBorder="1"/>
    <xf numFmtId="49" fontId="0" fillId="0" borderId="2" xfId="0" applyNumberFormat="1" applyBorder="1"/>
    <xf numFmtId="0" fontId="0" fillId="4" borderId="2" xfId="0" applyFill="1" applyBorder="1"/>
    <xf numFmtId="0" fontId="0" fillId="2" borderId="1" xfId="0" applyFill="1" applyBorder="1"/>
    <xf numFmtId="0" fontId="0" fillId="0" borderId="12" xfId="0" applyBorder="1" applyAlignment="1"/>
    <xf numFmtId="0" fontId="0" fillId="0" borderId="2" xfId="0" applyBorder="1" applyAlignment="1"/>
    <xf numFmtId="0" fontId="19" fillId="0" borderId="10" xfId="0" applyFont="1" applyBorder="1" applyAlignment="1"/>
    <xf numFmtId="49" fontId="0" fillId="2" borderId="11" xfId="0" applyNumberFormat="1" applyFill="1" applyBorder="1" applyAlignment="1"/>
    <xf numFmtId="0" fontId="2" fillId="5" borderId="2" xfId="0" applyFont="1" applyFill="1" applyBorder="1" applyAlignment="1"/>
    <xf numFmtId="0" fontId="1" fillId="0" borderId="13" xfId="0" applyFont="1" applyFill="1" applyBorder="1"/>
    <xf numFmtId="0" fontId="14" fillId="0" borderId="0" xfId="0" applyFont="1" applyBorder="1"/>
    <xf numFmtId="0" fontId="0" fillId="0" borderId="0" xfId="0" applyFont="1" applyBorder="1" applyAlignment="1"/>
    <xf numFmtId="49" fontId="16" fillId="0" borderId="1" xfId="1" applyNumberFormat="1" applyBorder="1" applyAlignment="1"/>
    <xf numFmtId="49" fontId="0" fillId="0" borderId="1" xfId="0" applyNumberFormat="1" applyFill="1" applyBorder="1" applyAlignment="1"/>
    <xf numFmtId="49" fontId="1" fillId="0" borderId="1" xfId="0" applyNumberFormat="1" applyFont="1" applyBorder="1" applyAlignment="1"/>
    <xf numFmtId="49" fontId="1" fillId="0" borderId="1" xfId="0" applyNumberFormat="1" applyFont="1" applyBorder="1"/>
    <xf numFmtId="49" fontId="0" fillId="0" borderId="1" xfId="0" applyNumberFormat="1" applyBorder="1"/>
    <xf numFmtId="0" fontId="0" fillId="0" borderId="1" xfId="0" applyBorder="1" applyAlignment="1">
      <alignment horizontal="center" wrapText="1"/>
    </xf>
    <xf numFmtId="0" fontId="0" fillId="0" borderId="4" xfId="0" applyBorder="1"/>
    <xf numFmtId="49" fontId="20" fillId="0" borderId="0" xfId="0" applyNumberFormat="1" applyFont="1" applyBorder="1"/>
    <xf numFmtId="49" fontId="20" fillId="0" borderId="0" xfId="0" applyNumberFormat="1" applyFont="1" applyBorder="1"/>
    <xf numFmtId="49" fontId="20" fillId="0" borderId="0" xfId="0" applyNumberFormat="1" applyFont="1" applyBorder="1"/>
    <xf numFmtId="49" fontId="20" fillId="0" borderId="0" xfId="0" applyNumberFormat="1" applyFont="1" applyBorder="1"/>
    <xf numFmtId="49" fontId="0" fillId="15" borderId="1" xfId="0" applyNumberFormat="1" applyFont="1" applyFill="1" applyBorder="1" applyAlignment="1" applyProtection="1">
      <alignment wrapText="1"/>
      <protection locked="0"/>
    </xf>
    <xf numFmtId="49" fontId="16" fillId="0" borderId="1" xfId="1" applyNumberFormat="1" applyBorder="1" applyAlignment="1" applyProtection="1">
      <alignment wrapText="1"/>
      <protection locked="0"/>
    </xf>
    <xf numFmtId="49" fontId="0" fillId="0" borderId="1" xfId="0" applyNumberFormat="1" applyFill="1" applyBorder="1" applyAlignment="1" applyProtection="1">
      <alignment horizontal="left"/>
      <protection locked="0"/>
    </xf>
    <xf numFmtId="0" fontId="1" fillId="0" borderId="0" xfId="0" applyFont="1" applyAlignment="1">
      <alignment horizontal="center"/>
    </xf>
    <xf numFmtId="0" fontId="0" fillId="0" borderId="3" xfId="0" applyFill="1" applyBorder="1" applyProtection="1">
      <protection locked="0"/>
    </xf>
    <xf numFmtId="49" fontId="0" fillId="0" borderId="0" xfId="0" applyNumberFormat="1" applyBorder="1" applyAlignment="1">
      <alignment horizontal="left" wrapText="1"/>
    </xf>
    <xf numFmtId="49" fontId="0" fillId="0" borderId="0" xfId="0" applyNumberFormat="1" applyBorder="1" applyAlignment="1">
      <alignment horizontal="center" wrapText="1"/>
    </xf>
    <xf numFmtId="0" fontId="1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15" fillId="3" borderId="6" xfId="0" applyFont="1" applyFill="1" applyBorder="1" applyAlignment="1">
      <alignment horizontal="center"/>
    </xf>
    <xf numFmtId="0" fontId="15" fillId="3" borderId="7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7" fillId="3" borderId="6" xfId="1" applyFont="1" applyFill="1" applyBorder="1" applyAlignment="1">
      <alignment horizontal="center"/>
    </xf>
    <xf numFmtId="0" fontId="17" fillId="3" borderId="7" xfId="1" applyFont="1" applyFill="1" applyBorder="1" applyAlignment="1">
      <alignment horizontal="center"/>
    </xf>
    <xf numFmtId="0" fontId="17" fillId="3" borderId="8" xfId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CFFCC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10</xdr:row>
          <xdr:rowOff>133350</xdr:rowOff>
        </xdr:from>
        <xdr:to>
          <xdr:col>10</xdr:col>
          <xdr:colOff>47625</xdr:colOff>
          <xdr:row>13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Bradley Hand ITC"/>
                </a:rPr>
                <a:t>EMERALD Tool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2</xdr:row>
      <xdr:rowOff>104775</xdr:rowOff>
    </xdr:from>
    <xdr:to>
      <xdr:col>6</xdr:col>
      <xdr:colOff>533400</xdr:colOff>
      <xdr:row>2</xdr:row>
      <xdr:rowOff>209550</xdr:rowOff>
    </xdr:to>
    <xdr:sp macro="[0]!Sheet10.Sub_Random_Alphabet_End" textlink="">
      <xdr:nvSpPr>
        <xdr:cNvPr id="8" name="Rectangle 7"/>
        <xdr:cNvSpPr/>
      </xdr:nvSpPr>
      <xdr:spPr>
        <a:xfrm>
          <a:off x="8667750" y="504825"/>
          <a:ext cx="457200" cy="104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66675</xdr:colOff>
      <xdr:row>1</xdr:row>
      <xdr:rowOff>47625</xdr:rowOff>
    </xdr:from>
    <xdr:to>
      <xdr:col>6</xdr:col>
      <xdr:colOff>523875</xdr:colOff>
      <xdr:row>1</xdr:row>
      <xdr:rowOff>152400</xdr:rowOff>
    </xdr:to>
    <xdr:sp macro="[0]!Sheet10.Sub_Random_Alphabet_Begin" textlink="">
      <xdr:nvSpPr>
        <xdr:cNvPr id="3" name="Rectangle 2"/>
        <xdr:cNvSpPr/>
      </xdr:nvSpPr>
      <xdr:spPr>
        <a:xfrm>
          <a:off x="8658225" y="247650"/>
          <a:ext cx="457200" cy="1047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6</xdr:col>
      <xdr:colOff>76200</xdr:colOff>
      <xdr:row>3</xdr:row>
      <xdr:rowOff>38100</xdr:rowOff>
    </xdr:from>
    <xdr:to>
      <xdr:col>6</xdr:col>
      <xdr:colOff>533400</xdr:colOff>
      <xdr:row>3</xdr:row>
      <xdr:rowOff>142875</xdr:rowOff>
    </xdr:to>
    <xdr:sp macro="[0]!Sheet10.Sub_Random_Number_Begin" textlink="">
      <xdr:nvSpPr>
        <xdr:cNvPr id="9" name="Rectangle 8"/>
        <xdr:cNvSpPr/>
      </xdr:nvSpPr>
      <xdr:spPr>
        <a:xfrm>
          <a:off x="8667750" y="752475"/>
          <a:ext cx="457200" cy="10477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76200</xdr:colOff>
      <xdr:row>4</xdr:row>
      <xdr:rowOff>38100</xdr:rowOff>
    </xdr:from>
    <xdr:to>
      <xdr:col>6</xdr:col>
      <xdr:colOff>533400</xdr:colOff>
      <xdr:row>4</xdr:row>
      <xdr:rowOff>142875</xdr:rowOff>
    </xdr:to>
    <xdr:sp macro="[0]!Sheet10.Sub_Random_Number_End" textlink="">
      <xdr:nvSpPr>
        <xdr:cNvPr id="10" name="Rectangle 9"/>
        <xdr:cNvSpPr/>
      </xdr:nvSpPr>
      <xdr:spPr>
        <a:xfrm>
          <a:off x="8667750" y="809625"/>
          <a:ext cx="457200" cy="1047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19050</xdr:rowOff>
        </xdr:from>
        <xdr:to>
          <xdr:col>8</xdr:col>
          <xdr:colOff>38100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FF8080"/>
                  </a:solidFill>
                  <a:latin typeface="Calibri"/>
                  <a:cs typeface="Calibri"/>
                </a:rPr>
                <a:t>Random  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hyperlink" Target="mailto:Prov1@gmail.com" TargetMode="External"/><Relationship Id="rId7" Type="http://schemas.openxmlformats.org/officeDocument/2006/relationships/hyperlink" Target="mailto:Mem@Prov.org" TargetMode="External"/><Relationship Id="rId2" Type="http://schemas.openxmlformats.org/officeDocument/2006/relationships/hyperlink" Target="mailto:HIC@UHG.com" TargetMode="External"/><Relationship Id="rId1" Type="http://schemas.openxmlformats.org/officeDocument/2006/relationships/hyperlink" Target="mailto:Test@optum.com" TargetMode="External"/><Relationship Id="rId6" Type="http://schemas.openxmlformats.org/officeDocument/2006/relationships/hyperlink" Target="mailto:Mem@Prov.org" TargetMode="External"/><Relationship Id="rId5" Type="http://schemas.openxmlformats.org/officeDocument/2006/relationships/hyperlink" Target="mailto:Tuve@rocher.in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Testagain@yahoo.co.in" TargetMode="External"/><Relationship Id="rId9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Rend_Prov.Non_Existent@Optum.com" TargetMode="External"/><Relationship Id="rId2" Type="http://schemas.openxmlformats.org/officeDocument/2006/relationships/hyperlink" Target="mailto:Rend_Prov.Non_Existent@Optum.com" TargetMode="External"/><Relationship Id="rId1" Type="http://schemas.openxmlformats.org/officeDocument/2006/relationships/hyperlink" Target="mailto:Rend_Prov.Non_Existent@Optum.com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mailto:Rend_Prov.Non_Existent@Optum.com" TargetMode="External"/><Relationship Id="rId4" Type="http://schemas.openxmlformats.org/officeDocument/2006/relationships/hyperlink" Target="mailto:Rend_Prov.Non_Existent@Optum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CFFCC"/>
  </sheetPr>
  <dimension ref="A210:B210"/>
  <sheetViews>
    <sheetView workbookViewId="0"/>
  </sheetViews>
  <sheetFormatPr defaultRowHeight="15" x14ac:dyDescent="0.25"/>
  <cols>
    <col min="2" max="2" width="10" bestFit="1" customWidth="1"/>
  </cols>
  <sheetData>
    <row r="210" spans="1:2" x14ac:dyDescent="0.25">
      <c r="A210" s="55" t="s">
        <v>251</v>
      </c>
      <c r="B210" s="55" t="s">
        <v>252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B1:T134"/>
  <sheetViews>
    <sheetView showGridLines="0" workbookViewId="0">
      <selection activeCell="Q5" sqref="Q5:S5"/>
    </sheetView>
  </sheetViews>
  <sheetFormatPr defaultRowHeight="15" x14ac:dyDescent="0.25"/>
  <sheetData>
    <row r="1" spans="2:20" ht="15.75" thickBot="1" x14ac:dyDescent="0.3"/>
    <row r="2" spans="2:20" ht="24.75" thickTop="1" thickBot="1" x14ac:dyDescent="0.4">
      <c r="F2" s="107" t="s">
        <v>602</v>
      </c>
      <c r="G2" s="108"/>
      <c r="H2" s="108"/>
      <c r="I2" s="108"/>
      <c r="J2" s="108"/>
      <c r="K2" s="108"/>
      <c r="L2" s="108"/>
      <c r="M2" s="108"/>
      <c r="N2" s="109"/>
    </row>
    <row r="3" spans="2:20" ht="16.5" thickTop="1" x14ac:dyDescent="0.25">
      <c r="B3" s="8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</row>
    <row r="4" spans="2:20" ht="15.75" thickBot="1" x14ac:dyDescent="0.3"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54"/>
      <c r="Q4" s="54"/>
      <c r="R4" s="54"/>
      <c r="S4" s="54"/>
      <c r="T4" s="54"/>
    </row>
    <row r="5" spans="2:20" ht="24.75" thickTop="1" thickBot="1" x14ac:dyDescent="0.4"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110" t="s">
        <v>603</v>
      </c>
      <c r="R5" s="111"/>
      <c r="S5" s="112"/>
      <c r="T5" s="54"/>
    </row>
    <row r="6" spans="2:20" ht="16.5" thickTop="1" x14ac:dyDescent="0.25">
      <c r="B6" s="8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</row>
    <row r="7" spans="2:20" x14ac:dyDescent="0.25"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54"/>
      <c r="T7" s="54"/>
    </row>
    <row r="8" spans="2:20" x14ac:dyDescent="0.25"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</row>
    <row r="9" spans="2:20" ht="15.75" x14ac:dyDescent="0.25">
      <c r="B9" s="8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</row>
    <row r="10" spans="2:20" x14ac:dyDescent="0.25"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54"/>
      <c r="T10" s="54"/>
    </row>
    <row r="11" spans="2:20" x14ac:dyDescent="0.25"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</row>
    <row r="12" spans="2:20" ht="15.75" x14ac:dyDescent="0.25">
      <c r="B12" s="8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</row>
    <row r="13" spans="2:20" x14ac:dyDescent="0.25"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</row>
    <row r="14" spans="2:20" x14ac:dyDescent="0.25"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T14" s="106"/>
    </row>
    <row r="15" spans="2:20" x14ac:dyDescent="0.25"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</row>
    <row r="16" spans="2:20" x14ac:dyDescent="0.25"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</row>
    <row r="17" spans="2:20" x14ac:dyDescent="0.25"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</row>
    <row r="18" spans="2:20" ht="15.75" x14ac:dyDescent="0.25">
      <c r="B18" s="8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</row>
    <row r="19" spans="2:20" x14ac:dyDescent="0.25">
      <c r="B19" s="104"/>
      <c r="C19" s="104"/>
      <c r="D19" s="10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</row>
    <row r="20" spans="2:20" x14ac:dyDescent="0.25"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54"/>
    </row>
    <row r="21" spans="2:20" x14ac:dyDescent="0.25">
      <c r="B21" s="102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</row>
    <row r="22" spans="2:20" x14ac:dyDescent="0.25">
      <c r="B22" s="102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</row>
    <row r="23" spans="2:20" x14ac:dyDescent="0.25"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54"/>
    </row>
    <row r="24" spans="2:20" x14ac:dyDescent="0.25"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54"/>
    </row>
    <row r="25" spans="2:20" x14ac:dyDescent="0.25"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102"/>
      <c r="S25" s="102"/>
      <c r="T25" s="102"/>
    </row>
    <row r="26" spans="2:20" x14ac:dyDescent="0.25">
      <c r="B26" s="102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</row>
    <row r="27" spans="2:20" x14ac:dyDescent="0.25"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54"/>
    </row>
    <row r="28" spans="2:20" x14ac:dyDescent="0.25"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54"/>
    </row>
    <row r="29" spans="2:20" ht="15" customHeight="1" x14ac:dyDescent="0.25"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54"/>
    </row>
    <row r="30" spans="2:20" x14ac:dyDescent="0.25">
      <c r="B30" s="102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2"/>
      <c r="T30" s="54"/>
    </row>
    <row r="31" spans="2:20" x14ac:dyDescent="0.25"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54"/>
    </row>
    <row r="32" spans="2:20" x14ac:dyDescent="0.25"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102"/>
      <c r="S32" s="102"/>
      <c r="T32" s="54"/>
    </row>
    <row r="33" spans="2:20" x14ac:dyDescent="0.25">
      <c r="B33" s="102"/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</row>
    <row r="34" spans="2:20" x14ac:dyDescent="0.25"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54"/>
    </row>
    <row r="35" spans="2:20" ht="15" customHeight="1" x14ac:dyDescent="0.25"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</row>
    <row r="36" spans="2:20" ht="15" customHeight="1" x14ac:dyDescent="0.25"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54"/>
    </row>
    <row r="37" spans="2:20" x14ac:dyDescent="0.25"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54"/>
    </row>
    <row r="38" spans="2:20" x14ac:dyDescent="0.25"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2"/>
      <c r="T38" s="54"/>
    </row>
    <row r="39" spans="2:20" x14ac:dyDescent="0.25"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54"/>
    </row>
    <row r="40" spans="2:20" x14ac:dyDescent="0.25"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</row>
    <row r="41" spans="2:20" x14ac:dyDescent="0.25">
      <c r="B41" s="104"/>
      <c r="C41" s="104"/>
      <c r="D41" s="10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</row>
    <row r="42" spans="2:20" x14ac:dyDescent="0.25"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54"/>
    </row>
    <row r="43" spans="2:20" x14ac:dyDescent="0.25"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</row>
    <row r="44" spans="2:20" x14ac:dyDescent="0.25"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</row>
    <row r="45" spans="2:20" x14ac:dyDescent="0.25"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54"/>
    </row>
    <row r="46" spans="2:20" x14ac:dyDescent="0.25"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54"/>
    </row>
    <row r="47" spans="2:20" x14ac:dyDescent="0.25">
      <c r="B47" s="102"/>
      <c r="C47" s="102"/>
      <c r="D47" s="102"/>
      <c r="E47" s="102"/>
      <c r="F47" s="102"/>
      <c r="G47" s="102"/>
      <c r="H47" s="102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</row>
    <row r="48" spans="2:20" x14ac:dyDescent="0.25"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54"/>
    </row>
    <row r="49" spans="2:20" x14ac:dyDescent="0.25">
      <c r="B49" s="102"/>
      <c r="C49" s="102"/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54"/>
    </row>
    <row r="50" spans="2:20" x14ac:dyDescent="0.25">
      <c r="B50" s="102"/>
      <c r="C50" s="102"/>
      <c r="D50" s="102"/>
      <c r="E50" s="102"/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</row>
    <row r="51" spans="2:20" x14ac:dyDescent="0.25">
      <c r="B51" s="102"/>
      <c r="C51" s="102"/>
      <c r="D51" s="102"/>
      <c r="E51" s="102"/>
      <c r="F51" s="102"/>
      <c r="G51" s="102"/>
      <c r="H51" s="102"/>
      <c r="I51" s="102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</row>
    <row r="52" spans="2:20" x14ac:dyDescent="0.25">
      <c r="B52" s="102"/>
      <c r="C52" s="102"/>
      <c r="D52" s="102"/>
      <c r="E52" s="102"/>
      <c r="F52" s="102"/>
      <c r="G52" s="102"/>
      <c r="H52" s="102"/>
      <c r="I52" s="102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54"/>
    </row>
    <row r="53" spans="2:20" x14ac:dyDescent="0.25">
      <c r="B53" s="102"/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54"/>
    </row>
    <row r="54" spans="2:20" x14ac:dyDescent="0.25">
      <c r="B54" s="102"/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54"/>
    </row>
    <row r="55" spans="2:20" x14ac:dyDescent="0.25">
      <c r="B55" s="102"/>
      <c r="C55" s="102"/>
      <c r="D55" s="102"/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54"/>
    </row>
    <row r="56" spans="2:20" x14ac:dyDescent="0.25">
      <c r="B56" s="102"/>
      <c r="C56" s="102"/>
      <c r="D56" s="102"/>
      <c r="E56" s="102"/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54"/>
    </row>
    <row r="57" spans="2:20" x14ac:dyDescent="0.25"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54"/>
    </row>
    <row r="58" spans="2:20" x14ac:dyDescent="0.25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</row>
    <row r="59" spans="2:20" x14ac:dyDescent="0.25">
      <c r="B59" s="104"/>
      <c r="C59" s="104"/>
      <c r="D59" s="10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</row>
    <row r="60" spans="2:20" x14ac:dyDescent="0.25">
      <c r="B60" s="102"/>
      <c r="C60" s="102"/>
      <c r="D60" s="102"/>
      <c r="E60" s="102"/>
      <c r="F60" s="102"/>
      <c r="G60" s="102"/>
      <c r="H60" s="102"/>
      <c r="I60" s="102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54"/>
    </row>
    <row r="61" spans="2:20" x14ac:dyDescent="0.25">
      <c r="B61" s="102"/>
      <c r="C61" s="102"/>
      <c r="D61" s="102"/>
      <c r="E61" s="102"/>
      <c r="F61" s="102"/>
      <c r="G61" s="102"/>
      <c r="H61" s="102"/>
      <c r="I61" s="102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</row>
    <row r="62" spans="2:20" x14ac:dyDescent="0.25"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</row>
    <row r="63" spans="2:20" x14ac:dyDescent="0.25"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54"/>
    </row>
    <row r="64" spans="2:20" x14ac:dyDescent="0.25">
      <c r="B64" s="102"/>
      <c r="C64" s="102"/>
      <c r="D64" s="10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54"/>
    </row>
    <row r="65" spans="2:20" x14ac:dyDescent="0.25">
      <c r="B65" s="102"/>
      <c r="C65" s="102"/>
      <c r="D65" s="102"/>
      <c r="E65" s="102"/>
      <c r="F65" s="102"/>
      <c r="G65" s="102"/>
      <c r="H65" s="102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</row>
    <row r="66" spans="2:20" x14ac:dyDescent="0.25">
      <c r="B66" s="102"/>
      <c r="C66" s="102"/>
      <c r="D66" s="102"/>
      <c r="E66" s="102"/>
      <c r="F66" s="102"/>
      <c r="G66" s="102"/>
      <c r="H66" s="102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</row>
    <row r="67" spans="2:20" x14ac:dyDescent="0.25">
      <c r="B67" s="102"/>
      <c r="C67" s="102"/>
      <c r="D67" s="102"/>
      <c r="E67" s="102"/>
      <c r="F67" s="102"/>
      <c r="G67" s="102"/>
      <c r="H67" s="102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</row>
    <row r="68" spans="2:20" x14ac:dyDescent="0.25">
      <c r="B68" s="102"/>
      <c r="C68" s="102"/>
      <c r="D68" s="102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</row>
    <row r="69" spans="2:20" x14ac:dyDescent="0.25">
      <c r="B69" s="102"/>
      <c r="C69" s="102"/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54"/>
    </row>
    <row r="70" spans="2:20" x14ac:dyDescent="0.25">
      <c r="B70" s="102"/>
      <c r="C70" s="102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54"/>
    </row>
    <row r="71" spans="2:20" ht="15" customHeight="1" x14ac:dyDescent="0.25">
      <c r="B71" s="102"/>
      <c r="C71" s="102"/>
      <c r="D71" s="102"/>
      <c r="E71" s="102"/>
      <c r="F71" s="102"/>
      <c r="G71" s="102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54"/>
    </row>
    <row r="72" spans="2:20" x14ac:dyDescent="0.25">
      <c r="B72" s="102"/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54"/>
    </row>
    <row r="73" spans="2:20" x14ac:dyDescent="0.25"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54"/>
    </row>
    <row r="74" spans="2:20" x14ac:dyDescent="0.25"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54"/>
    </row>
    <row r="75" spans="2:20" x14ac:dyDescent="0.25"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</row>
    <row r="76" spans="2:20" x14ac:dyDescent="0.25"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54"/>
    </row>
    <row r="77" spans="2:20" ht="15" customHeight="1" x14ac:dyDescent="0.25">
      <c r="B77" s="103"/>
      <c r="C77" s="103"/>
      <c r="D77" s="103"/>
      <c r="E77" s="103"/>
      <c r="F77" s="103"/>
      <c r="G77" s="103"/>
      <c r="H77" s="103"/>
      <c r="I77" s="103"/>
      <c r="J77" s="103"/>
      <c r="K77" s="103"/>
      <c r="L77" s="103"/>
      <c r="M77" s="103"/>
      <c r="N77" s="103"/>
      <c r="O77" s="103"/>
      <c r="P77" s="103"/>
      <c r="Q77" s="103"/>
      <c r="R77" s="103"/>
      <c r="S77" s="103"/>
      <c r="T77" s="103"/>
    </row>
    <row r="78" spans="2:20" ht="15" customHeight="1" x14ac:dyDescent="0.25"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54"/>
    </row>
    <row r="79" spans="2:20" x14ac:dyDescent="0.25"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54"/>
    </row>
    <row r="80" spans="2:20" x14ac:dyDescent="0.25"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54"/>
    </row>
    <row r="81" spans="2:20" x14ac:dyDescent="0.25"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54"/>
    </row>
    <row r="82" spans="2:20" x14ac:dyDescent="0.25"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54"/>
    </row>
    <row r="83" spans="2:20" x14ac:dyDescent="0.25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</row>
    <row r="84" spans="2:20" x14ac:dyDescent="0.25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</row>
    <row r="85" spans="2:20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</row>
    <row r="86" spans="2:20" x14ac:dyDescent="0.25"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</row>
    <row r="87" spans="2:20" x14ac:dyDescent="0.25"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</row>
    <row r="88" spans="2:20" x14ac:dyDescent="0.25"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</row>
    <row r="89" spans="2:20" x14ac:dyDescent="0.25"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</row>
    <row r="90" spans="2:20" x14ac:dyDescent="0.25"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</row>
    <row r="91" spans="2:20" x14ac:dyDescent="0.25"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</row>
    <row r="92" spans="2:20" x14ac:dyDescent="0.25"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</row>
    <row r="93" spans="2:20" x14ac:dyDescent="0.25"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</row>
    <row r="94" spans="2:20" x14ac:dyDescent="0.25"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</row>
    <row r="95" spans="2:20" x14ac:dyDescent="0.25"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</row>
    <row r="96" spans="2:20" x14ac:dyDescent="0.25"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</row>
    <row r="97" spans="2:20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</row>
    <row r="98" spans="2:20" x14ac:dyDescent="0.25"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</row>
    <row r="99" spans="2:20" x14ac:dyDescent="0.25"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</row>
    <row r="100" spans="2:20" x14ac:dyDescent="0.25"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</row>
    <row r="101" spans="2:20" x14ac:dyDescent="0.25"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</row>
    <row r="102" spans="2:20" x14ac:dyDescent="0.25"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</row>
    <row r="103" spans="2:20" x14ac:dyDescent="0.25"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</row>
    <row r="104" spans="2:20" x14ac:dyDescent="0.25"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</row>
    <row r="105" spans="2:20" x14ac:dyDescent="0.25"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</row>
    <row r="106" spans="2:20" x14ac:dyDescent="0.25"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</row>
    <row r="107" spans="2:20" x14ac:dyDescent="0.25"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</row>
    <row r="108" spans="2:20" x14ac:dyDescent="0.25"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</row>
    <row r="109" spans="2:20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</row>
    <row r="110" spans="2:20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</row>
    <row r="111" spans="2:20" x14ac:dyDescent="0.25"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</row>
    <row r="112" spans="2:20" x14ac:dyDescent="0.25"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</row>
    <row r="113" spans="2:20" x14ac:dyDescent="0.25"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</row>
    <row r="114" spans="2:20" x14ac:dyDescent="0.25"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</row>
    <row r="115" spans="2:20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</row>
    <row r="116" spans="2:20" x14ac:dyDescent="0.25"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</row>
    <row r="117" spans="2:20" x14ac:dyDescent="0.25"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</row>
    <row r="118" spans="2:20" x14ac:dyDescent="0.25"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</row>
    <row r="119" spans="2:20" x14ac:dyDescent="0.25"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</row>
    <row r="120" spans="2:20" x14ac:dyDescent="0.25"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</row>
    <row r="121" spans="2:20" x14ac:dyDescent="0.25"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</row>
    <row r="122" spans="2:20" x14ac:dyDescent="0.25"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</row>
    <row r="123" spans="2:20" x14ac:dyDescent="0.25"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</row>
    <row r="124" spans="2:20" x14ac:dyDescent="0.25"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</row>
    <row r="125" spans="2:20" x14ac:dyDescent="0.25"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</row>
    <row r="126" spans="2:20" x14ac:dyDescent="0.25"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</row>
    <row r="127" spans="2:20" x14ac:dyDescent="0.25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</row>
    <row r="128" spans="2:20" x14ac:dyDescent="0.25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</row>
    <row r="129" spans="2:20" x14ac:dyDescent="0.25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</row>
    <row r="130" spans="2:20" x14ac:dyDescent="0.25"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</row>
    <row r="131" spans="2:20" x14ac:dyDescent="0.25"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</row>
    <row r="132" spans="2:20" x14ac:dyDescent="0.25"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</row>
    <row r="133" spans="2:20" x14ac:dyDescent="0.25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</row>
    <row r="134" spans="2:20" x14ac:dyDescent="0.25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</row>
  </sheetData>
  <mergeCells count="71">
    <mergeCell ref="B39:S39"/>
    <mergeCell ref="B37:S37"/>
    <mergeCell ref="B38:S38"/>
    <mergeCell ref="B33:T33"/>
    <mergeCell ref="B34:S34"/>
    <mergeCell ref="B35:T35"/>
    <mergeCell ref="B36:S36"/>
    <mergeCell ref="B47:T47"/>
    <mergeCell ref="B48:S48"/>
    <mergeCell ref="B49:S49"/>
    <mergeCell ref="B57:S57"/>
    <mergeCell ref="B44:T44"/>
    <mergeCell ref="B45:S45"/>
    <mergeCell ref="B46:S46"/>
    <mergeCell ref="B54:S54"/>
    <mergeCell ref="B56:S56"/>
    <mergeCell ref="B50:T50"/>
    <mergeCell ref="B51:T51"/>
    <mergeCell ref="B52:S52"/>
    <mergeCell ref="B53:S53"/>
    <mergeCell ref="B55:S55"/>
    <mergeCell ref="F2:N2"/>
    <mergeCell ref="B13:T13"/>
    <mergeCell ref="B24:S24"/>
    <mergeCell ref="B21:T21"/>
    <mergeCell ref="B14:T14"/>
    <mergeCell ref="B15:T15"/>
    <mergeCell ref="B16:T16"/>
    <mergeCell ref="B17:T17"/>
    <mergeCell ref="B19:D19"/>
    <mergeCell ref="B20:S20"/>
    <mergeCell ref="B22:T22"/>
    <mergeCell ref="B23:S23"/>
    <mergeCell ref="Q5:S5"/>
    <mergeCell ref="B59:D59"/>
    <mergeCell ref="B60:S60"/>
    <mergeCell ref="B61:T61"/>
    <mergeCell ref="B7:R7"/>
    <mergeCell ref="B10:R10"/>
    <mergeCell ref="B41:D41"/>
    <mergeCell ref="B30:S30"/>
    <mergeCell ref="B31:S31"/>
    <mergeCell ref="B32:S32"/>
    <mergeCell ref="B25:T25"/>
    <mergeCell ref="B26:T26"/>
    <mergeCell ref="B27:S27"/>
    <mergeCell ref="B28:S28"/>
    <mergeCell ref="B29:S29"/>
    <mergeCell ref="B42:S42"/>
    <mergeCell ref="B43:T43"/>
    <mergeCell ref="B80:S80"/>
    <mergeCell ref="B62:T62"/>
    <mergeCell ref="B63:S63"/>
    <mergeCell ref="B64:S64"/>
    <mergeCell ref="B65:T65"/>
    <mergeCell ref="B81:S81"/>
    <mergeCell ref="B82:S82"/>
    <mergeCell ref="B66:T66"/>
    <mergeCell ref="B67:T67"/>
    <mergeCell ref="B68:T68"/>
    <mergeCell ref="B69:S69"/>
    <mergeCell ref="B70:S70"/>
    <mergeCell ref="B71:S71"/>
    <mergeCell ref="B72:S72"/>
    <mergeCell ref="B73:S73"/>
    <mergeCell ref="B74:S74"/>
    <mergeCell ref="B78:S78"/>
    <mergeCell ref="B77:T77"/>
    <mergeCell ref="B75:T75"/>
    <mergeCell ref="B76:S76"/>
    <mergeCell ref="B79:S79"/>
  </mergeCells>
  <hyperlinks>
    <hyperlink ref="Q5" location="Instructions!A1" display="Instructions"/>
    <hyperlink ref="Q5:S5" location="'Tool Control'!A1" display="ChartSync Tool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G4:P20"/>
  <sheetViews>
    <sheetView showGridLines="0" workbookViewId="0">
      <selection activeCell="D24" sqref="D24"/>
    </sheetView>
  </sheetViews>
  <sheetFormatPr defaultRowHeight="15" x14ac:dyDescent="0.25"/>
  <cols>
    <col min="13" max="13" width="11.42578125" bestFit="1" customWidth="1"/>
  </cols>
  <sheetData>
    <row r="4" spans="10:16" x14ac:dyDescent="0.25">
      <c r="J4" s="18"/>
    </row>
    <row r="15" spans="10:16" ht="15.75" thickBot="1" x14ac:dyDescent="0.3"/>
    <row r="16" spans="10:16" ht="24.75" thickTop="1" thickBot="1" x14ac:dyDescent="0.4">
      <c r="M16" s="110" t="s">
        <v>798</v>
      </c>
      <c r="N16" s="111"/>
      <c r="O16" s="111"/>
      <c r="P16" s="112"/>
    </row>
    <row r="17" spans="7:16" ht="15.75" thickTop="1" x14ac:dyDescent="0.25"/>
    <row r="18" spans="7:16" ht="15.75" thickBot="1" x14ac:dyDescent="0.3"/>
    <row r="19" spans="7:16" ht="24.75" thickTop="1" thickBot="1" x14ac:dyDescent="0.4">
      <c r="M19" s="110" t="s">
        <v>799</v>
      </c>
      <c r="N19" s="111"/>
      <c r="O19" s="111"/>
      <c r="P19" s="112"/>
    </row>
    <row r="20" spans="7:16" ht="15.75" thickTop="1" x14ac:dyDescent="0.25">
      <c r="G20" t="s">
        <v>126</v>
      </c>
    </row>
  </sheetData>
  <mergeCells count="2">
    <mergeCell ref="M19:P19"/>
    <mergeCell ref="M16:P16"/>
  </mergeCells>
  <hyperlinks>
    <hyperlink ref="M19" location="Instructions!A1" display="Instructions"/>
    <hyperlink ref="M19:P19" location="Settings!A1" display="EMERALD TOOL SETTINGS"/>
    <hyperlink ref="M16" location="Instructions!A1" display="Instructions"/>
    <hyperlink ref="M16:P16" location="TestData!A1" display="EMERALD TEST DATA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olStart_Click">
                <anchor moveWithCells="1">
                  <from>
                    <xdr:col>6</xdr:col>
                    <xdr:colOff>504825</xdr:colOff>
                    <xdr:row>10</xdr:row>
                    <xdr:rowOff>133350</xdr:rowOff>
                  </from>
                  <to>
                    <xdr:col>10</xdr:col>
                    <xdr:colOff>47625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C000"/>
  </sheetPr>
  <dimension ref="A1:AG51"/>
  <sheetViews>
    <sheetView zoomScaleNormal="100" workbookViewId="0">
      <selection activeCell="C8" sqref="C8"/>
    </sheetView>
  </sheetViews>
  <sheetFormatPr defaultRowHeight="15" x14ac:dyDescent="0.25"/>
  <cols>
    <col min="1" max="1" width="5.7109375" customWidth="1"/>
    <col min="2" max="2" width="20.5703125" bestFit="1" customWidth="1"/>
    <col min="3" max="3" width="51" customWidth="1"/>
    <col min="4" max="4" width="25.5703125" customWidth="1"/>
    <col min="5" max="5" width="16.85546875" customWidth="1"/>
    <col min="18" max="18" width="19.42578125" bestFit="1" customWidth="1"/>
    <col min="19" max="19" width="7" bestFit="1" customWidth="1"/>
    <col min="20" max="20" width="6.85546875" bestFit="1" customWidth="1"/>
    <col min="21" max="21" width="10.5703125" bestFit="1" customWidth="1"/>
    <col min="22" max="22" width="11" bestFit="1" customWidth="1"/>
    <col min="23" max="23" width="11.5703125" bestFit="1" customWidth="1"/>
    <col min="24" max="24" width="6.42578125" bestFit="1" customWidth="1"/>
    <col min="25" max="25" width="8.140625" bestFit="1" customWidth="1"/>
    <col min="26" max="26" width="16" bestFit="1" customWidth="1"/>
    <col min="27" max="27" width="11.7109375" bestFit="1" customWidth="1"/>
    <col min="28" max="28" width="6.42578125" bestFit="1" customWidth="1"/>
    <col min="29" max="29" width="7" bestFit="1" customWidth="1"/>
    <col min="30" max="30" width="8.140625" bestFit="1" customWidth="1"/>
    <col min="31" max="31" width="9" bestFit="1" customWidth="1"/>
    <col min="32" max="32" width="5.140625" bestFit="1" customWidth="1"/>
    <col min="33" max="33" width="9.85546875" bestFit="1" customWidth="1"/>
  </cols>
  <sheetData>
    <row r="1" spans="1:33" ht="15.75" thickBot="1" x14ac:dyDescent="0.3">
      <c r="A1" s="71" t="s">
        <v>774</v>
      </c>
      <c r="B1" s="71" t="s">
        <v>767</v>
      </c>
      <c r="C1" s="72" t="s">
        <v>768</v>
      </c>
      <c r="D1" s="72" t="s">
        <v>769</v>
      </c>
      <c r="E1" s="72" t="s">
        <v>770</v>
      </c>
      <c r="F1" s="83" t="s">
        <v>793</v>
      </c>
      <c r="R1" s="88" t="s">
        <v>8</v>
      </c>
      <c r="S1" s="89" t="s">
        <v>422</v>
      </c>
      <c r="T1" s="89" t="s">
        <v>906</v>
      </c>
      <c r="U1" s="89" t="s">
        <v>930</v>
      </c>
      <c r="V1" s="89" t="s">
        <v>868</v>
      </c>
      <c r="W1" s="89" t="s">
        <v>934</v>
      </c>
      <c r="X1" s="89" t="s">
        <v>960</v>
      </c>
      <c r="Y1" s="89" t="s">
        <v>961</v>
      </c>
      <c r="Z1" s="89" t="s">
        <v>936</v>
      </c>
      <c r="AA1" s="89" t="s">
        <v>962</v>
      </c>
      <c r="AB1" s="89" t="s">
        <v>963</v>
      </c>
      <c r="AC1" s="89" t="s">
        <v>796</v>
      </c>
      <c r="AD1" s="89" t="s">
        <v>929</v>
      </c>
      <c r="AE1" s="55" t="s">
        <v>937</v>
      </c>
      <c r="AF1" s="55" t="s">
        <v>870</v>
      </c>
      <c r="AG1" s="55" t="s">
        <v>867</v>
      </c>
    </row>
    <row r="2" spans="1:33" ht="15.75" thickBot="1" x14ac:dyDescent="0.3">
      <c r="A2" s="75" t="s">
        <v>28</v>
      </c>
      <c r="B2" s="70" t="s">
        <v>778</v>
      </c>
      <c r="C2" s="3" t="s">
        <v>771</v>
      </c>
      <c r="D2" s="75" t="s">
        <v>1115</v>
      </c>
      <c r="E2" s="73"/>
      <c r="F2" s="31">
        <v>2</v>
      </c>
      <c r="R2" s="75" t="s">
        <v>422</v>
      </c>
      <c r="S2" s="93" t="s">
        <v>932</v>
      </c>
      <c r="T2" s="93" t="s">
        <v>797</v>
      </c>
      <c r="U2" s="93" t="s">
        <v>884</v>
      </c>
      <c r="V2" s="93" t="s">
        <v>784</v>
      </c>
      <c r="W2" s="93" t="s">
        <v>933</v>
      </c>
      <c r="X2" s="93" t="s">
        <v>960</v>
      </c>
      <c r="Y2" s="93" t="s">
        <v>964</v>
      </c>
      <c r="Z2" s="93" t="s">
        <v>869</v>
      </c>
      <c r="AA2" s="93" t="s">
        <v>965</v>
      </c>
      <c r="AB2" s="93" t="s">
        <v>948</v>
      </c>
      <c r="AC2" s="93" t="s">
        <v>795</v>
      </c>
      <c r="AD2" s="94" t="s">
        <v>333</v>
      </c>
      <c r="AE2" s="95" t="s">
        <v>941</v>
      </c>
      <c r="AF2" s="93" t="s">
        <v>870</v>
      </c>
      <c r="AG2" s="96" t="s">
        <v>341</v>
      </c>
    </row>
    <row r="3" spans="1:33" ht="24.75" thickTop="1" thickBot="1" x14ac:dyDescent="0.4">
      <c r="A3" s="75" t="s">
        <v>492</v>
      </c>
      <c r="B3" s="31" t="s">
        <v>779</v>
      </c>
      <c r="C3" s="2" t="s">
        <v>772</v>
      </c>
      <c r="D3" s="28" t="s">
        <v>1116</v>
      </c>
      <c r="E3" s="74"/>
      <c r="F3" s="31">
        <v>2</v>
      </c>
      <c r="J3" s="110" t="s">
        <v>603</v>
      </c>
      <c r="K3" s="111"/>
      <c r="L3" s="112"/>
      <c r="R3" s="90" t="s">
        <v>906</v>
      </c>
      <c r="S3" s="93"/>
      <c r="T3" s="93"/>
      <c r="U3" s="93"/>
      <c r="V3" s="93"/>
      <c r="W3" s="93" t="s">
        <v>935</v>
      </c>
      <c r="X3" s="93"/>
      <c r="Y3" s="93"/>
      <c r="Z3" s="93"/>
      <c r="AA3" s="93" t="s">
        <v>966</v>
      </c>
      <c r="AB3" s="93"/>
      <c r="AC3" s="93"/>
      <c r="AD3" s="94" t="s">
        <v>794</v>
      </c>
      <c r="AE3" s="95" t="s">
        <v>782</v>
      </c>
      <c r="AF3" s="93"/>
      <c r="AG3" s="96" t="s">
        <v>791</v>
      </c>
    </row>
    <row r="4" spans="1:33" ht="15.75" thickTop="1" x14ac:dyDescent="0.25">
      <c r="A4" s="75" t="s">
        <v>493</v>
      </c>
      <c r="B4" s="70" t="s">
        <v>780</v>
      </c>
      <c r="C4" s="3" t="s">
        <v>771</v>
      </c>
      <c r="D4" s="75">
        <v>2</v>
      </c>
      <c r="E4" s="76"/>
      <c r="F4" s="31">
        <v>1</v>
      </c>
      <c r="R4" s="90" t="s">
        <v>930</v>
      </c>
      <c r="S4" s="93"/>
      <c r="T4" s="93"/>
      <c r="U4" s="93"/>
      <c r="V4" s="93"/>
      <c r="W4" s="93"/>
      <c r="X4" s="93"/>
      <c r="Y4" s="93"/>
      <c r="Z4" s="93"/>
      <c r="AA4" s="93" t="s">
        <v>967</v>
      </c>
      <c r="AB4" s="93"/>
      <c r="AC4" s="93"/>
      <c r="AD4" s="94" t="s">
        <v>931</v>
      </c>
      <c r="AE4" s="95" t="s">
        <v>783</v>
      </c>
      <c r="AF4" s="93"/>
      <c r="AG4" s="96" t="s">
        <v>789</v>
      </c>
    </row>
    <row r="5" spans="1:33" x14ac:dyDescent="0.25">
      <c r="A5" s="75" t="s">
        <v>494</v>
      </c>
      <c r="B5" s="31" t="s">
        <v>781</v>
      </c>
      <c r="C5" s="2" t="s">
        <v>772</v>
      </c>
      <c r="D5" s="75">
        <v>12</v>
      </c>
      <c r="E5" s="77"/>
      <c r="F5" s="31">
        <v>2</v>
      </c>
      <c r="R5" s="90" t="s">
        <v>868</v>
      </c>
      <c r="S5" s="93"/>
      <c r="T5" s="93"/>
      <c r="U5" s="93"/>
      <c r="V5" s="93"/>
      <c r="W5" s="93"/>
      <c r="X5" s="93"/>
      <c r="Y5" s="93"/>
      <c r="Z5" s="93"/>
      <c r="AA5" s="93" t="s">
        <v>968</v>
      </c>
      <c r="AB5" s="93"/>
      <c r="AC5" s="93"/>
      <c r="AD5" s="93"/>
      <c r="AE5" s="95" t="s">
        <v>794</v>
      </c>
      <c r="AF5" s="93"/>
      <c r="AG5" s="96" t="s">
        <v>788</v>
      </c>
    </row>
    <row r="6" spans="1:33" ht="30" x14ac:dyDescent="0.25">
      <c r="A6" s="75" t="s">
        <v>495</v>
      </c>
      <c r="B6" s="31" t="s">
        <v>776</v>
      </c>
      <c r="C6" s="2" t="s">
        <v>773</v>
      </c>
      <c r="D6" s="91" t="s">
        <v>1108</v>
      </c>
      <c r="R6" s="90" t="s">
        <v>934</v>
      </c>
      <c r="S6" s="93"/>
      <c r="T6" s="93"/>
      <c r="U6" s="93"/>
      <c r="V6" s="93"/>
      <c r="W6" s="93"/>
      <c r="X6" s="93"/>
      <c r="Y6" s="93"/>
      <c r="Z6" s="93"/>
      <c r="AA6" s="93" t="s">
        <v>969</v>
      </c>
      <c r="AB6" s="93"/>
      <c r="AC6" s="93"/>
      <c r="AD6" s="93"/>
      <c r="AE6" s="95" t="s">
        <v>944</v>
      </c>
      <c r="AF6" s="93"/>
      <c r="AG6" s="96" t="s">
        <v>790</v>
      </c>
    </row>
    <row r="7" spans="1:33" ht="75" x14ac:dyDescent="0.25">
      <c r="A7" s="75" t="s">
        <v>496</v>
      </c>
      <c r="B7" s="31" t="s">
        <v>777</v>
      </c>
      <c r="C7" s="2" t="s">
        <v>775</v>
      </c>
      <c r="D7" s="2" t="s">
        <v>1023</v>
      </c>
      <c r="R7" s="90" t="s">
        <v>960</v>
      </c>
      <c r="S7" s="93"/>
      <c r="T7" s="93"/>
      <c r="U7" s="93"/>
      <c r="V7" s="93"/>
      <c r="W7" s="93"/>
      <c r="X7" s="93"/>
      <c r="Y7" s="93"/>
      <c r="Z7" s="93"/>
      <c r="AA7" s="93" t="s">
        <v>970</v>
      </c>
      <c r="AB7" s="93"/>
      <c r="AC7" s="93"/>
      <c r="AD7" s="93"/>
      <c r="AE7" s="95" t="s">
        <v>938</v>
      </c>
      <c r="AF7" s="93"/>
      <c r="AG7" s="96" t="s">
        <v>785</v>
      </c>
    </row>
    <row r="8" spans="1:33" ht="105" x14ac:dyDescent="0.25">
      <c r="A8" s="75" t="s">
        <v>497</v>
      </c>
      <c r="B8" s="31" t="s">
        <v>949</v>
      </c>
      <c r="C8" s="2" t="s">
        <v>950</v>
      </c>
      <c r="D8" s="2" t="s">
        <v>1107</v>
      </c>
      <c r="R8" s="90" t="s">
        <v>961</v>
      </c>
      <c r="S8" s="93"/>
      <c r="T8" s="93"/>
      <c r="U8" s="93"/>
      <c r="V8" s="93"/>
      <c r="W8" s="93"/>
      <c r="X8" s="93"/>
      <c r="Y8" s="93"/>
      <c r="Z8" s="93"/>
      <c r="AA8" s="93" t="s">
        <v>971</v>
      </c>
      <c r="AB8" s="93"/>
      <c r="AC8" s="93"/>
      <c r="AD8" s="93"/>
      <c r="AE8" s="95" t="s">
        <v>943</v>
      </c>
      <c r="AF8" s="93"/>
      <c r="AG8" s="96" t="s">
        <v>792</v>
      </c>
    </row>
    <row r="9" spans="1:33" x14ac:dyDescent="0.25">
      <c r="R9" s="90" t="s">
        <v>936</v>
      </c>
      <c r="S9" s="93"/>
      <c r="T9" s="93"/>
      <c r="U9" s="93"/>
      <c r="V9" s="93"/>
      <c r="W9" s="93"/>
      <c r="X9" s="93"/>
      <c r="Y9" s="93"/>
      <c r="Z9" s="93"/>
      <c r="AA9" s="93" t="s">
        <v>972</v>
      </c>
      <c r="AB9" s="93"/>
      <c r="AC9" s="93"/>
      <c r="AD9" s="93"/>
      <c r="AE9" s="95" t="s">
        <v>945</v>
      </c>
      <c r="AF9" s="93"/>
      <c r="AG9" s="96" t="s">
        <v>787</v>
      </c>
    </row>
    <row r="10" spans="1:33" x14ac:dyDescent="0.25">
      <c r="R10" s="90" t="s">
        <v>962</v>
      </c>
      <c r="S10" s="93"/>
      <c r="T10" s="93"/>
      <c r="U10" s="93"/>
      <c r="V10" s="93"/>
      <c r="W10" s="93"/>
      <c r="X10" s="93"/>
      <c r="Y10" s="93"/>
      <c r="Z10" s="93"/>
      <c r="AA10" s="93" t="s">
        <v>973</v>
      </c>
      <c r="AB10" s="93"/>
      <c r="AC10" s="93"/>
      <c r="AD10" s="93"/>
      <c r="AE10" s="95" t="s">
        <v>946</v>
      </c>
      <c r="AF10" s="93"/>
      <c r="AG10" s="96" t="s">
        <v>786</v>
      </c>
    </row>
    <row r="11" spans="1:33" x14ac:dyDescent="0.25">
      <c r="R11" s="90" t="s">
        <v>963</v>
      </c>
      <c r="S11" s="93"/>
      <c r="T11" s="93"/>
      <c r="U11" s="93"/>
      <c r="V11" s="93"/>
      <c r="W11" s="93"/>
      <c r="X11" s="93"/>
      <c r="Y11" s="93"/>
      <c r="Z11" s="93"/>
      <c r="AA11" s="93" t="s">
        <v>974</v>
      </c>
      <c r="AB11" s="93"/>
      <c r="AC11" s="93"/>
      <c r="AD11" s="93"/>
      <c r="AE11" s="95" t="s">
        <v>942</v>
      </c>
      <c r="AF11" s="93"/>
      <c r="AG11" s="93"/>
    </row>
    <row r="12" spans="1:33" x14ac:dyDescent="0.25">
      <c r="R12" s="90" t="s">
        <v>796</v>
      </c>
      <c r="S12" s="93"/>
      <c r="T12" s="93"/>
      <c r="U12" s="93"/>
      <c r="V12" s="93"/>
      <c r="W12" s="93"/>
      <c r="X12" s="93"/>
      <c r="Y12" s="93"/>
      <c r="Z12" s="93"/>
      <c r="AA12" s="93" t="s">
        <v>975</v>
      </c>
      <c r="AB12" s="93"/>
      <c r="AC12" s="93"/>
      <c r="AD12" s="93"/>
      <c r="AE12" s="95" t="s">
        <v>939</v>
      </c>
      <c r="AF12" s="93"/>
      <c r="AG12" s="93"/>
    </row>
    <row r="13" spans="1:33" x14ac:dyDescent="0.25">
      <c r="R13" s="90" t="s">
        <v>929</v>
      </c>
      <c r="S13" s="93"/>
      <c r="T13" s="93"/>
      <c r="U13" s="93"/>
      <c r="V13" s="93"/>
      <c r="W13" s="93"/>
      <c r="X13" s="93"/>
      <c r="Y13" s="93"/>
      <c r="Z13" s="93"/>
      <c r="AA13" s="93" t="s">
        <v>976</v>
      </c>
      <c r="AB13" s="93"/>
      <c r="AC13" s="93"/>
      <c r="AD13" s="93"/>
      <c r="AE13" s="95" t="s">
        <v>940</v>
      </c>
      <c r="AF13" s="93"/>
      <c r="AG13" s="93"/>
    </row>
    <row r="14" spans="1:33" x14ac:dyDescent="0.25">
      <c r="R14" s="31" t="s">
        <v>937</v>
      </c>
      <c r="S14" s="93"/>
      <c r="T14" s="93"/>
      <c r="U14" s="93"/>
      <c r="V14" s="93"/>
      <c r="W14" s="93"/>
      <c r="X14" s="93"/>
      <c r="Y14" s="93"/>
      <c r="Z14" s="93"/>
      <c r="AA14" s="93" t="s">
        <v>977</v>
      </c>
      <c r="AB14" s="93"/>
      <c r="AC14" s="93"/>
      <c r="AD14" s="93"/>
      <c r="AE14" s="95" t="s">
        <v>947</v>
      </c>
      <c r="AF14" s="93"/>
      <c r="AG14" s="93"/>
    </row>
    <row r="15" spans="1:33" x14ac:dyDescent="0.25">
      <c r="R15" s="31" t="s">
        <v>870</v>
      </c>
      <c r="S15" s="93"/>
      <c r="T15" s="93"/>
      <c r="U15" s="93"/>
      <c r="V15" s="93"/>
      <c r="W15" s="93"/>
      <c r="X15" s="93"/>
      <c r="Y15" s="93"/>
      <c r="Z15" s="93"/>
      <c r="AA15" s="93" t="s">
        <v>978</v>
      </c>
      <c r="AB15" s="93"/>
      <c r="AC15" s="93"/>
      <c r="AD15" s="93"/>
      <c r="AE15" s="93"/>
      <c r="AF15" s="93"/>
      <c r="AG15" s="93"/>
    </row>
    <row r="16" spans="1:33" x14ac:dyDescent="0.25">
      <c r="R16" s="92" t="s">
        <v>867</v>
      </c>
      <c r="S16" s="93"/>
      <c r="T16" s="93"/>
      <c r="U16" s="93"/>
      <c r="V16" s="93"/>
      <c r="W16" s="93"/>
      <c r="X16" s="93"/>
      <c r="Y16" s="93"/>
      <c r="Z16" s="93"/>
      <c r="AA16" s="93" t="s">
        <v>979</v>
      </c>
      <c r="AB16" s="93"/>
      <c r="AC16" s="93"/>
      <c r="AD16" s="93"/>
      <c r="AE16" s="93"/>
      <c r="AF16" s="93"/>
      <c r="AG16" s="93"/>
    </row>
    <row r="17" spans="19:33" x14ac:dyDescent="0.25">
      <c r="S17" s="93"/>
      <c r="T17" s="93"/>
      <c r="U17" s="93"/>
      <c r="V17" s="93"/>
      <c r="W17" s="93"/>
      <c r="X17" s="93"/>
      <c r="Y17" s="93"/>
      <c r="Z17" s="93"/>
      <c r="AA17" s="93" t="s">
        <v>980</v>
      </c>
      <c r="AB17" s="93"/>
      <c r="AC17" s="93"/>
      <c r="AD17" s="93"/>
      <c r="AE17" s="93"/>
      <c r="AF17" s="93"/>
      <c r="AG17" s="93"/>
    </row>
    <row r="18" spans="19:33" x14ac:dyDescent="0.25">
      <c r="S18" s="93"/>
      <c r="T18" s="93"/>
      <c r="U18" s="93"/>
      <c r="V18" s="93"/>
      <c r="W18" s="93"/>
      <c r="X18" s="93"/>
      <c r="Y18" s="93"/>
      <c r="Z18" s="93"/>
      <c r="AA18" s="93" t="s">
        <v>981</v>
      </c>
      <c r="AB18" s="93"/>
      <c r="AC18" s="93"/>
      <c r="AD18" s="93"/>
      <c r="AE18" s="93"/>
      <c r="AF18" s="93"/>
      <c r="AG18" s="93"/>
    </row>
    <row r="19" spans="19:33" x14ac:dyDescent="0.25">
      <c r="S19" s="93"/>
      <c r="T19" s="93"/>
      <c r="U19" s="93"/>
      <c r="V19" s="93"/>
      <c r="W19" s="93"/>
      <c r="X19" s="93"/>
      <c r="Y19" s="93"/>
      <c r="Z19" s="93"/>
      <c r="AA19" s="93" t="s">
        <v>982</v>
      </c>
      <c r="AB19" s="93"/>
      <c r="AC19" s="93"/>
      <c r="AD19" s="93"/>
      <c r="AE19" s="93"/>
      <c r="AF19" s="93"/>
      <c r="AG19" s="93"/>
    </row>
    <row r="20" spans="19:33" x14ac:dyDescent="0.25">
      <c r="S20" s="93"/>
      <c r="T20" s="93"/>
      <c r="U20" s="93"/>
      <c r="V20" s="93"/>
      <c r="W20" s="93"/>
      <c r="X20" s="93"/>
      <c r="Y20" s="93"/>
      <c r="Z20" s="93"/>
      <c r="AA20" s="93" t="s">
        <v>983</v>
      </c>
      <c r="AB20" s="93"/>
      <c r="AC20" s="93"/>
      <c r="AD20" s="93"/>
      <c r="AE20" s="93"/>
      <c r="AF20" s="93"/>
      <c r="AG20" s="93"/>
    </row>
    <row r="21" spans="19:33" x14ac:dyDescent="0.25">
      <c r="S21" s="93"/>
      <c r="T21" s="93"/>
      <c r="U21" s="93"/>
      <c r="V21" s="93"/>
      <c r="W21" s="93"/>
      <c r="X21" s="93"/>
      <c r="Y21" s="93"/>
      <c r="Z21" s="93"/>
      <c r="AA21" s="93" t="s">
        <v>984</v>
      </c>
      <c r="AB21" s="93"/>
      <c r="AC21" s="93"/>
      <c r="AD21" s="93"/>
      <c r="AE21" s="93"/>
      <c r="AF21" s="93"/>
      <c r="AG21" s="93"/>
    </row>
    <row r="22" spans="19:33" x14ac:dyDescent="0.25">
      <c r="S22" s="93"/>
      <c r="T22" s="93"/>
      <c r="U22" s="93"/>
      <c r="V22" s="93"/>
      <c r="W22" s="93"/>
      <c r="X22" s="93"/>
      <c r="Y22" s="93"/>
      <c r="Z22" s="93"/>
      <c r="AA22" s="93" t="s">
        <v>985</v>
      </c>
      <c r="AB22" s="93"/>
      <c r="AC22" s="93"/>
      <c r="AD22" s="93"/>
      <c r="AE22" s="93"/>
      <c r="AF22" s="93"/>
      <c r="AG22" s="93"/>
    </row>
    <row r="23" spans="19:33" x14ac:dyDescent="0.25">
      <c r="S23" s="93"/>
      <c r="T23" s="93"/>
      <c r="U23" s="93"/>
      <c r="V23" s="93"/>
      <c r="W23" s="93"/>
      <c r="X23" s="93"/>
      <c r="Y23" s="93"/>
      <c r="Z23" s="93"/>
      <c r="AA23" s="93" t="s">
        <v>986</v>
      </c>
      <c r="AB23" s="93"/>
      <c r="AC23" s="93"/>
      <c r="AD23" s="93"/>
      <c r="AE23" s="93"/>
      <c r="AF23" s="93"/>
      <c r="AG23" s="93"/>
    </row>
    <row r="24" spans="19:33" x14ac:dyDescent="0.25">
      <c r="S24" s="93"/>
      <c r="T24" s="93"/>
      <c r="U24" s="93"/>
      <c r="V24" s="93"/>
      <c r="W24" s="93"/>
      <c r="X24" s="93"/>
      <c r="Y24" s="93"/>
      <c r="Z24" s="93"/>
      <c r="AA24" s="93" t="s">
        <v>987</v>
      </c>
      <c r="AB24" s="93"/>
      <c r="AC24" s="93"/>
      <c r="AD24" s="93"/>
      <c r="AE24" s="93"/>
      <c r="AF24" s="93"/>
      <c r="AG24" s="93"/>
    </row>
    <row r="25" spans="19:33" x14ac:dyDescent="0.25">
      <c r="S25" s="93"/>
      <c r="T25" s="93"/>
      <c r="U25" s="93"/>
      <c r="V25" s="93"/>
      <c r="W25" s="93"/>
      <c r="X25" s="93"/>
      <c r="Y25" s="93"/>
      <c r="Z25" s="93"/>
      <c r="AA25" s="93" t="s">
        <v>988</v>
      </c>
      <c r="AB25" s="93"/>
      <c r="AC25" s="93"/>
      <c r="AD25" s="93"/>
      <c r="AE25" s="93"/>
      <c r="AF25" s="93"/>
      <c r="AG25" s="93"/>
    </row>
    <row r="26" spans="19:33" x14ac:dyDescent="0.25">
      <c r="S26" s="93"/>
      <c r="T26" s="93"/>
      <c r="U26" s="93"/>
      <c r="V26" s="93"/>
      <c r="W26" s="93"/>
      <c r="X26" s="93"/>
      <c r="Y26" s="93"/>
      <c r="Z26" s="93"/>
      <c r="AA26" s="93" t="s">
        <v>989</v>
      </c>
      <c r="AB26" s="93"/>
      <c r="AC26" s="93"/>
      <c r="AD26" s="93"/>
      <c r="AE26" s="93"/>
      <c r="AF26" s="93"/>
      <c r="AG26" s="93"/>
    </row>
    <row r="27" spans="19:33" x14ac:dyDescent="0.25">
      <c r="S27" s="93"/>
      <c r="T27" s="93"/>
      <c r="U27" s="93"/>
      <c r="V27" s="93"/>
      <c r="W27" s="93"/>
      <c r="X27" s="93"/>
      <c r="Y27" s="93"/>
      <c r="Z27" s="93"/>
      <c r="AA27" s="93" t="s">
        <v>990</v>
      </c>
      <c r="AB27" s="93"/>
      <c r="AC27" s="93"/>
      <c r="AD27" s="93"/>
      <c r="AE27" s="93"/>
      <c r="AF27" s="93"/>
      <c r="AG27" s="93"/>
    </row>
    <row r="28" spans="19:33" x14ac:dyDescent="0.25">
      <c r="S28" s="93"/>
      <c r="T28" s="93"/>
      <c r="U28" s="93"/>
      <c r="V28" s="93"/>
      <c r="W28" s="93"/>
      <c r="X28" s="93"/>
      <c r="Y28" s="93"/>
      <c r="Z28" s="93"/>
      <c r="AA28" s="93" t="s">
        <v>991</v>
      </c>
      <c r="AB28" s="93"/>
      <c r="AC28" s="93"/>
      <c r="AD28" s="93"/>
      <c r="AE28" s="93"/>
      <c r="AF28" s="93"/>
      <c r="AG28" s="93"/>
    </row>
    <row r="29" spans="19:33" x14ac:dyDescent="0.25">
      <c r="S29" s="93"/>
      <c r="T29" s="93"/>
      <c r="U29" s="93"/>
      <c r="V29" s="93"/>
      <c r="W29" s="93"/>
      <c r="X29" s="93"/>
      <c r="Y29" s="93"/>
      <c r="Z29" s="93"/>
      <c r="AA29" s="93" t="s">
        <v>992</v>
      </c>
      <c r="AB29" s="93"/>
      <c r="AC29" s="93"/>
      <c r="AD29" s="93"/>
      <c r="AE29" s="93"/>
      <c r="AF29" s="93"/>
      <c r="AG29" s="93"/>
    </row>
    <row r="30" spans="19:33" x14ac:dyDescent="0.25">
      <c r="S30" s="93"/>
      <c r="T30" s="93"/>
      <c r="U30" s="93"/>
      <c r="V30" s="93"/>
      <c r="W30" s="93"/>
      <c r="X30" s="93"/>
      <c r="Y30" s="93"/>
      <c r="Z30" s="93"/>
      <c r="AA30" s="93" t="s">
        <v>993</v>
      </c>
      <c r="AB30" s="93"/>
      <c r="AC30" s="93"/>
      <c r="AD30" s="93"/>
      <c r="AE30" s="93"/>
      <c r="AF30" s="93"/>
      <c r="AG30" s="93"/>
    </row>
    <row r="31" spans="19:33" x14ac:dyDescent="0.25">
      <c r="S31" s="93"/>
      <c r="T31" s="93"/>
      <c r="U31" s="93"/>
      <c r="V31" s="93"/>
      <c r="W31" s="93"/>
      <c r="X31" s="93"/>
      <c r="Y31" s="93"/>
      <c r="Z31" s="93"/>
      <c r="AA31" s="93" t="s">
        <v>994</v>
      </c>
      <c r="AB31" s="93"/>
      <c r="AC31" s="93"/>
      <c r="AD31" s="93"/>
      <c r="AE31" s="93"/>
      <c r="AF31" s="93"/>
      <c r="AG31" s="93"/>
    </row>
    <row r="32" spans="19:33" x14ac:dyDescent="0.25">
      <c r="S32" s="93"/>
      <c r="T32" s="93"/>
      <c r="U32" s="93"/>
      <c r="V32" s="93"/>
      <c r="W32" s="93"/>
      <c r="X32" s="93"/>
      <c r="Y32" s="93"/>
      <c r="Z32" s="93"/>
      <c r="AA32" s="93" t="s">
        <v>995</v>
      </c>
      <c r="AB32" s="93"/>
      <c r="AC32" s="93"/>
      <c r="AD32" s="93"/>
      <c r="AE32" s="93"/>
      <c r="AF32" s="93"/>
      <c r="AG32" s="93"/>
    </row>
    <row r="33" spans="19:33" x14ac:dyDescent="0.25">
      <c r="S33" s="93"/>
      <c r="T33" s="93"/>
      <c r="U33" s="93"/>
      <c r="V33" s="93"/>
      <c r="W33" s="93"/>
      <c r="X33" s="93"/>
      <c r="Y33" s="93"/>
      <c r="Z33" s="93"/>
      <c r="AA33" s="93" t="s">
        <v>996</v>
      </c>
      <c r="AB33" s="93"/>
      <c r="AC33" s="93"/>
      <c r="AD33" s="93"/>
      <c r="AE33" s="93"/>
      <c r="AF33" s="93"/>
      <c r="AG33" s="93"/>
    </row>
    <row r="34" spans="19:33" x14ac:dyDescent="0.25">
      <c r="S34" s="93"/>
      <c r="T34" s="93"/>
      <c r="U34" s="93"/>
      <c r="V34" s="93"/>
      <c r="W34" s="93"/>
      <c r="X34" s="93"/>
      <c r="Y34" s="93"/>
      <c r="Z34" s="93"/>
      <c r="AA34" s="93" t="s">
        <v>997</v>
      </c>
      <c r="AB34" s="93"/>
      <c r="AC34" s="93"/>
      <c r="AD34" s="93"/>
      <c r="AE34" s="93"/>
      <c r="AF34" s="93"/>
      <c r="AG34" s="93"/>
    </row>
    <row r="35" spans="19:33" x14ac:dyDescent="0.25">
      <c r="S35" s="93"/>
      <c r="T35" s="93"/>
      <c r="U35" s="93"/>
      <c r="V35" s="93"/>
      <c r="W35" s="93"/>
      <c r="X35" s="93"/>
      <c r="Y35" s="93"/>
      <c r="Z35" s="93"/>
      <c r="AA35" s="93" t="s">
        <v>998</v>
      </c>
      <c r="AB35" s="93"/>
      <c r="AC35" s="93"/>
      <c r="AD35" s="93"/>
      <c r="AE35" s="93"/>
      <c r="AF35" s="93"/>
      <c r="AG35" s="93"/>
    </row>
    <row r="36" spans="19:33" x14ac:dyDescent="0.25">
      <c r="S36" s="93"/>
      <c r="T36" s="93"/>
      <c r="U36" s="93"/>
      <c r="V36" s="93"/>
      <c r="W36" s="93"/>
      <c r="X36" s="93"/>
      <c r="Y36" s="93"/>
      <c r="Z36" s="93"/>
      <c r="AA36" s="93" t="s">
        <v>999</v>
      </c>
      <c r="AB36" s="93"/>
      <c r="AC36" s="93"/>
      <c r="AD36" s="93"/>
      <c r="AE36" s="93"/>
      <c r="AF36" s="93"/>
      <c r="AG36" s="93"/>
    </row>
    <row r="37" spans="19:33" x14ac:dyDescent="0.25">
      <c r="S37" s="93"/>
      <c r="T37" s="93"/>
      <c r="U37" s="93"/>
      <c r="V37" s="93"/>
      <c r="W37" s="93"/>
      <c r="X37" s="93"/>
      <c r="Y37" s="93"/>
      <c r="Z37" s="93"/>
      <c r="AA37" s="93" t="s">
        <v>1000</v>
      </c>
      <c r="AB37" s="93"/>
      <c r="AC37" s="93"/>
      <c r="AD37" s="93"/>
      <c r="AE37" s="93"/>
      <c r="AF37" s="93"/>
      <c r="AG37" s="93"/>
    </row>
    <row r="38" spans="19:33" x14ac:dyDescent="0.25">
      <c r="S38" s="93"/>
      <c r="T38" s="93"/>
      <c r="U38" s="93"/>
      <c r="V38" s="93"/>
      <c r="W38" s="93"/>
      <c r="X38" s="93"/>
      <c r="Y38" s="93"/>
      <c r="Z38" s="93"/>
      <c r="AA38" s="93" t="s">
        <v>1001</v>
      </c>
      <c r="AB38" s="93"/>
      <c r="AC38" s="93"/>
      <c r="AD38" s="93"/>
      <c r="AE38" s="93"/>
      <c r="AF38" s="93"/>
      <c r="AG38" s="93"/>
    </row>
    <row r="39" spans="19:33" x14ac:dyDescent="0.25">
      <c r="S39" s="93"/>
      <c r="T39" s="93"/>
      <c r="U39" s="93"/>
      <c r="V39" s="93"/>
      <c r="W39" s="93"/>
      <c r="X39" s="93"/>
      <c r="Y39" s="93"/>
      <c r="Z39" s="93"/>
      <c r="AA39" s="93" t="s">
        <v>1002</v>
      </c>
      <c r="AB39" s="93"/>
      <c r="AC39" s="93"/>
      <c r="AD39" s="93"/>
      <c r="AE39" s="93"/>
      <c r="AF39" s="93"/>
      <c r="AG39" s="93"/>
    </row>
    <row r="40" spans="19:33" x14ac:dyDescent="0.25">
      <c r="S40" s="93"/>
      <c r="T40" s="93"/>
      <c r="U40" s="93"/>
      <c r="V40" s="93"/>
      <c r="W40" s="93"/>
      <c r="X40" s="93"/>
      <c r="Y40" s="93"/>
      <c r="Z40" s="93"/>
      <c r="AA40" s="93" t="s">
        <v>1003</v>
      </c>
      <c r="AB40" s="93"/>
      <c r="AC40" s="93"/>
      <c r="AD40" s="93"/>
      <c r="AE40" s="93"/>
      <c r="AF40" s="93"/>
      <c r="AG40" s="93"/>
    </row>
    <row r="41" spans="19:33" x14ac:dyDescent="0.25">
      <c r="S41" s="93"/>
      <c r="T41" s="93"/>
      <c r="U41" s="93"/>
      <c r="V41" s="93"/>
      <c r="W41" s="93"/>
      <c r="X41" s="93"/>
      <c r="Y41" s="93"/>
      <c r="Z41" s="93"/>
      <c r="AA41" s="93" t="s">
        <v>1004</v>
      </c>
      <c r="AB41" s="93"/>
      <c r="AC41" s="93"/>
      <c r="AD41" s="93"/>
      <c r="AE41" s="93"/>
      <c r="AF41" s="93"/>
      <c r="AG41" s="93"/>
    </row>
    <row r="42" spans="19:33" x14ac:dyDescent="0.25">
      <c r="S42" s="93"/>
      <c r="T42" s="93"/>
      <c r="U42" s="93"/>
      <c r="V42" s="93"/>
      <c r="W42" s="93"/>
      <c r="X42" s="93"/>
      <c r="Y42" s="93"/>
      <c r="Z42" s="93"/>
      <c r="AA42" s="93" t="s">
        <v>1005</v>
      </c>
      <c r="AB42" s="93"/>
      <c r="AC42" s="93"/>
      <c r="AD42" s="93"/>
      <c r="AE42" s="93"/>
      <c r="AF42" s="93"/>
      <c r="AG42" s="93"/>
    </row>
    <row r="43" spans="19:33" x14ac:dyDescent="0.25">
      <c r="S43" s="93"/>
      <c r="T43" s="93"/>
      <c r="U43" s="93"/>
      <c r="V43" s="93"/>
      <c r="W43" s="93"/>
      <c r="X43" s="93"/>
      <c r="Y43" s="93"/>
      <c r="Z43" s="93"/>
      <c r="AA43" s="93" t="s">
        <v>1006</v>
      </c>
      <c r="AB43" s="93"/>
      <c r="AC43" s="93"/>
      <c r="AD43" s="93"/>
      <c r="AE43" s="93"/>
      <c r="AF43" s="93"/>
      <c r="AG43" s="93"/>
    </row>
    <row r="44" spans="19:33" x14ac:dyDescent="0.25">
      <c r="S44" s="93"/>
      <c r="T44" s="93"/>
      <c r="U44" s="93"/>
      <c r="V44" s="93"/>
      <c r="W44" s="93"/>
      <c r="X44" s="93"/>
      <c r="Y44" s="93"/>
      <c r="Z44" s="93"/>
      <c r="AA44" s="93" t="s">
        <v>1007</v>
      </c>
      <c r="AB44" s="93"/>
      <c r="AC44" s="93"/>
      <c r="AD44" s="93"/>
      <c r="AE44" s="93"/>
      <c r="AF44" s="93"/>
      <c r="AG44" s="93"/>
    </row>
    <row r="45" spans="19:33" x14ac:dyDescent="0.25">
      <c r="S45" s="93"/>
      <c r="T45" s="93"/>
      <c r="U45" s="93"/>
      <c r="V45" s="93"/>
      <c r="W45" s="93"/>
      <c r="X45" s="93"/>
      <c r="Y45" s="93"/>
      <c r="Z45" s="93"/>
      <c r="AA45" s="93" t="s">
        <v>1008</v>
      </c>
      <c r="AB45" s="93"/>
      <c r="AC45" s="93"/>
      <c r="AD45" s="93"/>
      <c r="AE45" s="93"/>
      <c r="AF45" s="93"/>
      <c r="AG45" s="93"/>
    </row>
    <row r="46" spans="19:33" x14ac:dyDescent="0.25">
      <c r="S46" s="93"/>
      <c r="T46" s="93"/>
      <c r="U46" s="93"/>
      <c r="V46" s="93"/>
      <c r="W46" s="93"/>
      <c r="X46" s="93"/>
      <c r="Y46" s="93"/>
      <c r="Z46" s="93"/>
      <c r="AA46" s="93" t="s">
        <v>1009</v>
      </c>
      <c r="AB46" s="93"/>
      <c r="AC46" s="93"/>
      <c r="AD46" s="93"/>
      <c r="AE46" s="93"/>
      <c r="AF46" s="93"/>
      <c r="AG46" s="93"/>
    </row>
    <row r="47" spans="19:33" x14ac:dyDescent="0.25">
      <c r="S47" s="93"/>
      <c r="T47" s="93"/>
      <c r="U47" s="93"/>
      <c r="V47" s="93"/>
      <c r="W47" s="93"/>
      <c r="X47" s="93"/>
      <c r="Y47" s="93"/>
      <c r="Z47" s="93"/>
      <c r="AA47" s="93" t="s">
        <v>1010</v>
      </c>
      <c r="AB47" s="93"/>
      <c r="AC47" s="93"/>
      <c r="AD47" s="93"/>
      <c r="AE47" s="93"/>
      <c r="AF47" s="93"/>
      <c r="AG47" s="93"/>
    </row>
    <row r="48" spans="19:33" x14ac:dyDescent="0.25">
      <c r="S48" s="93"/>
      <c r="T48" s="93"/>
      <c r="U48" s="93"/>
      <c r="V48" s="93"/>
      <c r="W48" s="93"/>
      <c r="X48" s="93"/>
      <c r="Y48" s="93"/>
      <c r="Z48" s="93"/>
      <c r="AA48" s="93" t="s">
        <v>1011</v>
      </c>
      <c r="AB48" s="93"/>
      <c r="AC48" s="93"/>
      <c r="AD48" s="93"/>
      <c r="AE48" s="93"/>
      <c r="AF48" s="93"/>
      <c r="AG48" s="93"/>
    </row>
    <row r="49" spans="19:33" x14ac:dyDescent="0.25">
      <c r="S49" s="93"/>
      <c r="T49" s="93"/>
      <c r="U49" s="93"/>
      <c r="V49" s="93"/>
      <c r="W49" s="93"/>
      <c r="X49" s="93"/>
      <c r="Y49" s="93"/>
      <c r="Z49" s="93"/>
      <c r="AA49" s="93" t="s">
        <v>1012</v>
      </c>
      <c r="AB49" s="93"/>
      <c r="AC49" s="93"/>
      <c r="AD49" s="93"/>
      <c r="AE49" s="93"/>
      <c r="AF49" s="93"/>
      <c r="AG49" s="93"/>
    </row>
    <row r="50" spans="19:33" x14ac:dyDescent="0.25">
      <c r="S50" s="93"/>
      <c r="T50" s="93"/>
      <c r="U50" s="93"/>
      <c r="V50" s="93"/>
      <c r="W50" s="93"/>
      <c r="X50" s="93"/>
      <c r="Y50" s="93"/>
      <c r="Z50" s="93"/>
      <c r="AA50" s="93" t="s">
        <v>1013</v>
      </c>
      <c r="AB50" s="93"/>
      <c r="AC50" s="93"/>
      <c r="AD50" s="93"/>
      <c r="AE50" s="93"/>
      <c r="AF50" s="93"/>
      <c r="AG50" s="93"/>
    </row>
    <row r="51" spans="19:33" x14ac:dyDescent="0.25">
      <c r="S51" s="93"/>
      <c r="T51" s="93"/>
      <c r="U51" s="93"/>
      <c r="V51" s="93"/>
      <c r="W51" s="93"/>
      <c r="X51" s="93"/>
      <c r="Y51" s="93"/>
      <c r="Z51" s="93"/>
      <c r="AA51" s="93" t="s">
        <v>1014</v>
      </c>
      <c r="AB51" s="93"/>
      <c r="AC51" s="93"/>
      <c r="AD51" s="93"/>
      <c r="AE51" s="93"/>
      <c r="AF51" s="93"/>
      <c r="AG51" s="93"/>
    </row>
  </sheetData>
  <mergeCells count="1">
    <mergeCell ref="J3:L3"/>
  </mergeCells>
  <hyperlinks>
    <hyperlink ref="J3" location="Instructions!A1" display="Instructions"/>
    <hyperlink ref="J3:L3" location="'Tool Control'!A1" display="ChartSync Tool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0.Sub_Random_Generate">
                <anchor moveWithCells="1">
                  <from>
                    <xdr:col>7</xdr:col>
                    <xdr:colOff>9525</xdr:colOff>
                    <xdr:row>1</xdr:row>
                    <xdr:rowOff>19050</xdr:rowOff>
                  </from>
                  <to>
                    <xdr:col>8</xdr:col>
                    <xdr:colOff>38100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H41"/>
  <sheetViews>
    <sheetView tabSelected="1" topLeftCell="B1" workbookViewId="0">
      <selection activeCell="C3" sqref="C3"/>
    </sheetView>
  </sheetViews>
  <sheetFormatPr defaultRowHeight="15" x14ac:dyDescent="0.25"/>
  <cols>
    <col min="1" max="1" width="12" customWidth="1"/>
    <col min="2" max="2" width="23.42578125" customWidth="1"/>
    <col min="3" max="3" width="61.7109375" customWidth="1"/>
    <col min="4" max="4" width="18.42578125" bestFit="1" customWidth="1"/>
    <col min="5" max="5" width="18.85546875" bestFit="1" customWidth="1"/>
    <col min="6" max="6" width="22.85546875" bestFit="1" customWidth="1"/>
    <col min="7" max="7" width="19" bestFit="1" customWidth="1"/>
    <col min="8" max="8" width="15" bestFit="1" customWidth="1"/>
  </cols>
  <sheetData>
    <row r="1" spans="1:8" s="19" customFormat="1" x14ac:dyDescent="0.25">
      <c r="A1" s="22" t="s">
        <v>37</v>
      </c>
      <c r="B1" s="22" t="s">
        <v>1</v>
      </c>
      <c r="C1" s="22" t="s">
        <v>38</v>
      </c>
      <c r="D1" s="100" t="s">
        <v>1085</v>
      </c>
      <c r="E1" s="100" t="s">
        <v>1086</v>
      </c>
      <c r="F1" s="100" t="s">
        <v>1087</v>
      </c>
      <c r="G1" s="100" t="s">
        <v>1093</v>
      </c>
    </row>
    <row r="2" spans="1:8" x14ac:dyDescent="0.25">
      <c r="A2" s="21">
        <v>1</v>
      </c>
      <c r="B2" s="23" t="s">
        <v>39</v>
      </c>
      <c r="C2" s="14" t="s">
        <v>1117</v>
      </c>
      <c r="D2" s="14" t="s">
        <v>1088</v>
      </c>
      <c r="E2" s="14" t="s">
        <v>1088</v>
      </c>
      <c r="F2" s="14" t="s">
        <v>1089</v>
      </c>
      <c r="G2" s="101" t="s">
        <v>1094</v>
      </c>
      <c r="H2" s="14" t="s">
        <v>1098</v>
      </c>
    </row>
    <row r="3" spans="1:8" x14ac:dyDescent="0.25">
      <c r="A3" s="21">
        <v>2</v>
      </c>
      <c r="B3" s="23" t="s">
        <v>40</v>
      </c>
      <c r="C3" s="14" t="s">
        <v>1092</v>
      </c>
      <c r="D3" s="14" t="s">
        <v>1090</v>
      </c>
      <c r="E3" s="14" t="s">
        <v>1091</v>
      </c>
      <c r="F3" s="14" t="s">
        <v>1092</v>
      </c>
      <c r="G3" s="101" t="s">
        <v>1095</v>
      </c>
      <c r="H3" s="14" t="s">
        <v>1099</v>
      </c>
    </row>
    <row r="4" spans="1:8" x14ac:dyDescent="0.25">
      <c r="A4" s="21">
        <v>3</v>
      </c>
      <c r="B4" s="23" t="s">
        <v>41</v>
      </c>
      <c r="C4" t="s">
        <v>1102</v>
      </c>
      <c r="E4" s="14" t="s">
        <v>253</v>
      </c>
      <c r="F4" t="s">
        <v>1102</v>
      </c>
      <c r="G4" t="s">
        <v>1096</v>
      </c>
      <c r="H4" s="14" t="s">
        <v>253</v>
      </c>
    </row>
    <row r="5" spans="1:8" ht="15.75" thickBot="1" x14ac:dyDescent="0.3">
      <c r="A5" s="21">
        <v>4</v>
      </c>
      <c r="B5" s="23" t="s">
        <v>42</v>
      </c>
      <c r="C5" t="s">
        <v>1114</v>
      </c>
      <c r="E5" s="14" t="s">
        <v>951</v>
      </c>
      <c r="F5" t="s">
        <v>1103</v>
      </c>
      <c r="G5" t="s">
        <v>1097</v>
      </c>
      <c r="H5" s="14" t="s">
        <v>951</v>
      </c>
    </row>
    <row r="6" spans="1:8" ht="24.75" thickTop="1" thickBot="1" x14ac:dyDescent="0.4">
      <c r="A6" s="21">
        <v>5</v>
      </c>
      <c r="B6" s="23" t="s">
        <v>43</v>
      </c>
      <c r="C6" s="26" t="s">
        <v>44</v>
      </c>
      <c r="D6" s="110" t="s">
        <v>603</v>
      </c>
      <c r="E6" s="111"/>
      <c r="F6" s="112"/>
      <c r="H6" t="s">
        <v>1101</v>
      </c>
    </row>
    <row r="7" spans="1:8" ht="135.75" thickTop="1" x14ac:dyDescent="0.25">
      <c r="A7" s="21">
        <v>6</v>
      </c>
      <c r="B7" s="24" t="s">
        <v>45</v>
      </c>
      <c r="C7" s="13" t="s">
        <v>1084</v>
      </c>
      <c r="H7" t="s">
        <v>1100</v>
      </c>
    </row>
    <row r="8" spans="1:8" x14ac:dyDescent="0.25">
      <c r="A8" s="21">
        <v>7</v>
      </c>
      <c r="B8" s="24" t="s">
        <v>50</v>
      </c>
      <c r="C8" s="13"/>
    </row>
    <row r="9" spans="1:8" x14ac:dyDescent="0.25">
      <c r="A9" s="21">
        <v>8</v>
      </c>
      <c r="B9" s="24" t="s">
        <v>48</v>
      </c>
      <c r="C9" s="27" t="s">
        <v>49</v>
      </c>
    </row>
    <row r="10" spans="1:8" x14ac:dyDescent="0.25">
      <c r="A10" s="21">
        <v>9</v>
      </c>
      <c r="B10" s="24" t="s">
        <v>47</v>
      </c>
      <c r="C10" s="27" t="s">
        <v>26</v>
      </c>
    </row>
    <row r="11" spans="1:8" x14ac:dyDescent="0.25">
      <c r="A11" s="21">
        <v>10</v>
      </c>
      <c r="B11" s="25" t="s">
        <v>46</v>
      </c>
      <c r="C11" s="27" t="s">
        <v>902</v>
      </c>
    </row>
    <row r="12" spans="1:8" x14ac:dyDescent="0.25">
      <c r="A12" s="21">
        <v>11</v>
      </c>
      <c r="B12" s="25" t="s">
        <v>101</v>
      </c>
      <c r="C12" s="27" t="s">
        <v>102</v>
      </c>
    </row>
    <row r="13" spans="1:8" x14ac:dyDescent="0.25">
      <c r="A13" s="21">
        <v>12</v>
      </c>
      <c r="B13" s="24" t="s">
        <v>120</v>
      </c>
      <c r="C13" s="32"/>
      <c r="D13" s="33"/>
    </row>
    <row r="14" spans="1:8" x14ac:dyDescent="0.25">
      <c r="A14" s="21">
        <v>13</v>
      </c>
      <c r="B14" s="24" t="s">
        <v>121</v>
      </c>
      <c r="C14" s="13"/>
    </row>
    <row r="15" spans="1:8" x14ac:dyDescent="0.25">
      <c r="A15" s="21">
        <v>14</v>
      </c>
      <c r="B15" s="24" t="s">
        <v>122</v>
      </c>
      <c r="C15" s="27" t="s">
        <v>1083</v>
      </c>
    </row>
    <row r="16" spans="1:8" ht="135" x14ac:dyDescent="0.25">
      <c r="A16" s="21">
        <v>15</v>
      </c>
      <c r="B16" s="56" t="s">
        <v>289</v>
      </c>
      <c r="C16" s="51" t="s">
        <v>339</v>
      </c>
    </row>
    <row r="17" spans="1:3" x14ac:dyDescent="0.25">
      <c r="A17" s="21">
        <v>16</v>
      </c>
      <c r="B17" s="56" t="s">
        <v>334</v>
      </c>
      <c r="C17" s="51" t="s">
        <v>335</v>
      </c>
    </row>
    <row r="18" spans="1:3" x14ac:dyDescent="0.25">
      <c r="A18" s="21">
        <v>17</v>
      </c>
      <c r="B18" s="56" t="s">
        <v>290</v>
      </c>
      <c r="C18" s="27" t="s">
        <v>292</v>
      </c>
    </row>
    <row r="19" spans="1:3" x14ac:dyDescent="0.25">
      <c r="A19" s="21">
        <v>18</v>
      </c>
      <c r="B19" s="56" t="s">
        <v>291</v>
      </c>
      <c r="C19" s="27" t="s">
        <v>26</v>
      </c>
    </row>
    <row r="20" spans="1:3" ht="75" x14ac:dyDescent="0.25">
      <c r="A20" s="21">
        <v>19</v>
      </c>
      <c r="B20" s="56" t="s">
        <v>1058</v>
      </c>
      <c r="C20" s="51" t="s">
        <v>1059</v>
      </c>
    </row>
    <row r="21" spans="1:3" ht="180" x14ac:dyDescent="0.25">
      <c r="A21" s="21">
        <v>20</v>
      </c>
      <c r="B21" s="50" t="s">
        <v>218</v>
      </c>
      <c r="C21" s="51" t="s">
        <v>1109</v>
      </c>
    </row>
    <row r="22" spans="1:3" x14ac:dyDescent="0.25">
      <c r="A22" s="21">
        <v>21</v>
      </c>
      <c r="B22" s="50" t="s">
        <v>216</v>
      </c>
      <c r="C22" s="27" t="s">
        <v>1060</v>
      </c>
    </row>
    <row r="23" spans="1:3" x14ac:dyDescent="0.25">
      <c r="A23" s="21">
        <v>22</v>
      </c>
      <c r="B23" s="50" t="s">
        <v>1061</v>
      </c>
      <c r="C23" s="99" t="s">
        <v>1062</v>
      </c>
    </row>
    <row r="24" spans="1:3" x14ac:dyDescent="0.25">
      <c r="A24" s="21">
        <v>23</v>
      </c>
      <c r="B24" s="58" t="s">
        <v>367</v>
      </c>
      <c r="C24" s="51"/>
    </row>
    <row r="25" spans="1:3" x14ac:dyDescent="0.25">
      <c r="A25" s="21">
        <v>24</v>
      </c>
      <c r="B25" s="58" t="s">
        <v>368</v>
      </c>
      <c r="C25" s="27" t="s">
        <v>215</v>
      </c>
    </row>
    <row r="26" spans="1:3" x14ac:dyDescent="0.25">
      <c r="A26" s="21">
        <v>25</v>
      </c>
      <c r="B26" s="58" t="s">
        <v>217</v>
      </c>
      <c r="C26" s="27" t="s">
        <v>26</v>
      </c>
    </row>
    <row r="27" spans="1:3" x14ac:dyDescent="0.25">
      <c r="A27" s="20"/>
    </row>
    <row r="28" spans="1:3" x14ac:dyDescent="0.25">
      <c r="A28" s="20"/>
    </row>
    <row r="29" spans="1:3" x14ac:dyDescent="0.25">
      <c r="A29" s="20"/>
    </row>
    <row r="30" spans="1:3" x14ac:dyDescent="0.25">
      <c r="A30" s="20"/>
    </row>
    <row r="31" spans="1:3" x14ac:dyDescent="0.25">
      <c r="A31" s="20"/>
    </row>
    <row r="32" spans="1:3" x14ac:dyDescent="0.25">
      <c r="A32" s="20"/>
    </row>
    <row r="33" spans="1:1" x14ac:dyDescent="0.25">
      <c r="A33" s="20"/>
    </row>
    <row r="34" spans="1:1" x14ac:dyDescent="0.25">
      <c r="A34" s="20"/>
    </row>
    <row r="35" spans="1:1" x14ac:dyDescent="0.25">
      <c r="A35" s="20"/>
    </row>
    <row r="36" spans="1:1" x14ac:dyDescent="0.25">
      <c r="A36" s="20"/>
    </row>
    <row r="37" spans="1:1" x14ac:dyDescent="0.25">
      <c r="A37" s="20"/>
    </row>
    <row r="38" spans="1:1" x14ac:dyDescent="0.25">
      <c r="A38" s="20"/>
    </row>
    <row r="39" spans="1:1" x14ac:dyDescent="0.25">
      <c r="A39" s="20"/>
    </row>
    <row r="40" spans="1:1" x14ac:dyDescent="0.25">
      <c r="A40" s="20"/>
    </row>
    <row r="41" spans="1:1" x14ac:dyDescent="0.25">
      <c r="A41" s="20"/>
    </row>
  </sheetData>
  <sheetProtection selectLockedCells="1"/>
  <mergeCells count="1">
    <mergeCell ref="D6:F6"/>
  </mergeCells>
  <hyperlinks>
    <hyperlink ref="D6" location="Instructions!A1" display="Instructions"/>
    <hyperlink ref="D6:F6" location="'Tool Control'!A1" display="ChartSync Tool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78"/>
  <sheetViews>
    <sheetView zoomScaleNormal="100" workbookViewId="0">
      <pane xSplit="3" ySplit="1" topLeftCell="D2" activePane="bottomRight" state="frozen"/>
      <selection activeCell="B5" sqref="B5"/>
      <selection pane="topRight" activeCell="B5" sqref="B5"/>
      <selection pane="bottomLeft" activeCell="B5" sqref="B5"/>
      <selection pane="bottomRight" activeCell="D15" sqref="D15"/>
    </sheetView>
  </sheetViews>
  <sheetFormatPr defaultRowHeight="15" x14ac:dyDescent="0.25"/>
  <cols>
    <col min="1" max="1" width="10.140625" style="1" customWidth="1"/>
    <col min="2" max="2" width="14.140625" style="7" customWidth="1"/>
    <col min="3" max="3" width="39" style="1" customWidth="1"/>
    <col min="4" max="4" width="5.5703125" style="64" customWidth="1"/>
    <col min="5" max="6" width="9" style="64" customWidth="1"/>
    <col min="7" max="12" width="11.5703125" style="64" customWidth="1"/>
    <col min="13" max="14" width="27.85546875" style="1" customWidth="1"/>
    <col min="15" max="16" width="34.5703125" style="1" customWidth="1"/>
    <col min="17" max="19" width="27.85546875" style="1" customWidth="1"/>
    <col min="20" max="16384" width="9.140625" style="1"/>
  </cols>
  <sheetData>
    <row r="1" spans="1:19" x14ac:dyDescent="0.25">
      <c r="A1" s="10" t="s">
        <v>0</v>
      </c>
      <c r="B1" s="38" t="s">
        <v>23</v>
      </c>
      <c r="C1" s="10" t="s">
        <v>1</v>
      </c>
      <c r="D1" s="63" t="s">
        <v>491</v>
      </c>
      <c r="E1" s="63" t="s">
        <v>882</v>
      </c>
      <c r="F1" s="63" t="s">
        <v>1024</v>
      </c>
      <c r="G1" s="63" t="s">
        <v>954</v>
      </c>
      <c r="H1" s="63" t="s">
        <v>601</v>
      </c>
      <c r="I1" s="63" t="s">
        <v>957</v>
      </c>
      <c r="J1" s="63" t="s">
        <v>955</v>
      </c>
      <c r="K1" s="63" t="s">
        <v>956</v>
      </c>
      <c r="L1" s="63" t="s">
        <v>880</v>
      </c>
      <c r="M1" s="10" t="s">
        <v>22</v>
      </c>
      <c r="N1" s="10" t="s">
        <v>237</v>
      </c>
      <c r="O1" s="10" t="s">
        <v>238</v>
      </c>
      <c r="P1" s="10" t="s">
        <v>239</v>
      </c>
      <c r="Q1" s="10" t="s">
        <v>240</v>
      </c>
      <c r="R1" s="10" t="s">
        <v>241</v>
      </c>
      <c r="S1" s="10" t="s">
        <v>242</v>
      </c>
    </row>
    <row r="2" spans="1:19" s="64" customFormat="1" x14ac:dyDescent="0.25">
      <c r="A2" s="67" t="s">
        <v>4</v>
      </c>
      <c r="B2" s="67" t="s">
        <v>24</v>
      </c>
      <c r="C2" s="61" t="s">
        <v>2</v>
      </c>
      <c r="D2" s="68" t="s">
        <v>28</v>
      </c>
      <c r="E2" s="68" t="s">
        <v>28</v>
      </c>
      <c r="F2" s="68" t="s">
        <v>28</v>
      </c>
      <c r="G2" s="68" t="s">
        <v>28</v>
      </c>
      <c r="H2" s="68" t="s">
        <v>28</v>
      </c>
      <c r="I2" s="68" t="s">
        <v>28</v>
      </c>
      <c r="J2" s="68" t="s">
        <v>28</v>
      </c>
      <c r="K2" s="68" t="s">
        <v>28</v>
      </c>
      <c r="L2" s="68" t="s">
        <v>28</v>
      </c>
      <c r="M2" s="59" t="s">
        <v>4</v>
      </c>
      <c r="N2" s="60"/>
      <c r="O2" s="60"/>
      <c r="P2" s="60"/>
      <c r="Q2" s="60"/>
      <c r="R2" s="60"/>
      <c r="S2" s="60"/>
    </row>
    <row r="3" spans="1:19" s="64" customFormat="1" x14ac:dyDescent="0.25">
      <c r="A3" s="67" t="s">
        <v>4</v>
      </c>
      <c r="B3" s="67" t="s">
        <v>24</v>
      </c>
      <c r="C3" s="61" t="s">
        <v>391</v>
      </c>
      <c r="D3" s="68" t="s">
        <v>492</v>
      </c>
      <c r="E3" s="60"/>
      <c r="F3" s="60"/>
      <c r="G3" s="60"/>
      <c r="H3" s="60"/>
      <c r="I3" s="60"/>
      <c r="J3" s="60"/>
      <c r="K3" s="60"/>
      <c r="L3" s="60"/>
      <c r="M3" s="60" t="s">
        <v>1111</v>
      </c>
      <c r="N3" s="60"/>
      <c r="O3" s="60"/>
      <c r="P3" s="60"/>
      <c r="Q3" s="60"/>
      <c r="R3" s="60"/>
      <c r="S3" s="60"/>
    </row>
    <row r="4" spans="1:19" s="64" customFormat="1" x14ac:dyDescent="0.25">
      <c r="A4" s="74" t="s">
        <v>4</v>
      </c>
      <c r="B4" s="67" t="s">
        <v>24</v>
      </c>
      <c r="C4" s="61" t="s">
        <v>3</v>
      </c>
      <c r="D4" s="68" t="s">
        <v>493</v>
      </c>
      <c r="E4" s="60"/>
      <c r="F4" s="60"/>
      <c r="G4" s="60"/>
      <c r="H4" s="60"/>
      <c r="I4" s="60"/>
      <c r="J4" s="60"/>
      <c r="K4" s="60"/>
      <c r="L4" s="60"/>
      <c r="M4" s="59" t="s">
        <v>1112</v>
      </c>
      <c r="N4" s="60"/>
      <c r="O4" s="60"/>
      <c r="P4" s="60"/>
      <c r="Q4" s="60"/>
      <c r="R4" s="60"/>
      <c r="S4" s="60"/>
    </row>
    <row r="5" spans="1:19" s="64" customFormat="1" x14ac:dyDescent="0.25">
      <c r="A5" s="67" t="s">
        <v>4</v>
      </c>
      <c r="B5" s="67" t="s">
        <v>24</v>
      </c>
      <c r="C5" s="61" t="s">
        <v>392</v>
      </c>
      <c r="D5" s="68" t="s">
        <v>494</v>
      </c>
      <c r="E5" s="60"/>
      <c r="F5" s="60"/>
      <c r="G5" s="60"/>
      <c r="H5" s="60"/>
      <c r="I5" s="60"/>
      <c r="J5" s="60"/>
      <c r="K5" s="60"/>
      <c r="L5" s="60"/>
      <c r="M5" s="60" t="s">
        <v>701</v>
      </c>
      <c r="N5" s="60"/>
      <c r="O5" s="60"/>
      <c r="P5" s="60"/>
      <c r="Q5" s="60"/>
      <c r="R5" s="60"/>
      <c r="S5" s="60"/>
    </row>
    <row r="6" spans="1:19" s="64" customFormat="1" x14ac:dyDescent="0.25">
      <c r="A6" s="67" t="s">
        <v>4</v>
      </c>
      <c r="B6" s="67" t="s">
        <v>24</v>
      </c>
      <c r="C6" s="61" t="s">
        <v>393</v>
      </c>
      <c r="D6" s="69" t="s">
        <v>495</v>
      </c>
      <c r="E6" s="60"/>
      <c r="F6" s="60"/>
      <c r="G6" s="60"/>
      <c r="H6" s="60"/>
      <c r="I6" s="60"/>
      <c r="J6" s="60"/>
      <c r="K6" s="60"/>
      <c r="L6" s="60"/>
      <c r="M6" s="59" t="s">
        <v>958</v>
      </c>
      <c r="N6" s="60"/>
      <c r="O6" s="60"/>
      <c r="P6" s="60"/>
      <c r="Q6" s="60"/>
      <c r="R6" s="60"/>
      <c r="S6" s="60"/>
    </row>
    <row r="7" spans="1:19" s="64" customFormat="1" x14ac:dyDescent="0.25">
      <c r="A7" s="67" t="s">
        <v>4</v>
      </c>
      <c r="B7" s="67" t="s">
        <v>24</v>
      </c>
      <c r="C7" s="61" t="s">
        <v>394</v>
      </c>
      <c r="D7" s="69" t="s">
        <v>496</v>
      </c>
      <c r="E7" s="60"/>
      <c r="F7" s="60"/>
      <c r="G7" s="60"/>
      <c r="H7" s="60"/>
      <c r="I7" s="60"/>
      <c r="J7" s="60"/>
      <c r="K7" s="60"/>
      <c r="L7" s="60"/>
      <c r="M7" s="59" t="s">
        <v>959</v>
      </c>
      <c r="N7" s="60"/>
      <c r="O7" s="60"/>
      <c r="P7" s="60"/>
      <c r="Q7" s="60"/>
      <c r="R7" s="60"/>
      <c r="S7" s="60"/>
    </row>
    <row r="8" spans="1:19" s="64" customFormat="1" ht="15.75" thickBot="1" x14ac:dyDescent="0.3">
      <c r="A8" s="67" t="s">
        <v>4</v>
      </c>
      <c r="B8" s="67" t="s">
        <v>24</v>
      </c>
      <c r="C8" s="78" t="s">
        <v>395</v>
      </c>
      <c r="D8" s="69" t="s">
        <v>497</v>
      </c>
      <c r="E8" s="60"/>
      <c r="F8" s="60"/>
      <c r="G8" s="60"/>
      <c r="H8" s="60"/>
      <c r="I8" s="60"/>
      <c r="J8" s="60"/>
      <c r="K8" s="60"/>
      <c r="L8" s="60"/>
      <c r="M8" s="59"/>
      <c r="N8" s="60"/>
      <c r="O8" s="60"/>
      <c r="P8" s="60"/>
      <c r="Q8" s="60"/>
      <c r="R8" s="60"/>
      <c r="S8" s="60"/>
    </row>
    <row r="9" spans="1:19" s="64" customFormat="1" ht="15.75" thickBot="1" x14ac:dyDescent="0.3">
      <c r="A9" s="68" t="s">
        <v>4</v>
      </c>
      <c r="B9" s="67" t="s">
        <v>24</v>
      </c>
      <c r="C9" s="80" t="s">
        <v>387</v>
      </c>
      <c r="D9" s="69" t="s">
        <v>498</v>
      </c>
      <c r="E9" s="68" t="s">
        <v>492</v>
      </c>
      <c r="F9" s="68" t="s">
        <v>492</v>
      </c>
      <c r="G9" s="68" t="s">
        <v>492</v>
      </c>
      <c r="H9" s="68" t="s">
        <v>492</v>
      </c>
      <c r="I9" s="68" t="s">
        <v>492</v>
      </c>
      <c r="J9" s="68" t="s">
        <v>492</v>
      </c>
      <c r="K9" s="68" t="s">
        <v>492</v>
      </c>
      <c r="L9" s="68" t="s">
        <v>492</v>
      </c>
      <c r="M9" s="60" t="s">
        <v>1106</v>
      </c>
      <c r="N9" s="60"/>
      <c r="O9" s="60"/>
      <c r="P9" s="60"/>
      <c r="Q9" s="60"/>
      <c r="R9" s="60"/>
      <c r="S9" s="60"/>
    </row>
    <row r="10" spans="1:19" s="64" customFormat="1" x14ac:dyDescent="0.25">
      <c r="A10" s="67" t="s">
        <v>4</v>
      </c>
      <c r="B10" s="67" t="s">
        <v>24</v>
      </c>
      <c r="C10" s="61" t="s">
        <v>417</v>
      </c>
      <c r="D10" s="69" t="s">
        <v>499</v>
      </c>
      <c r="E10" s="60"/>
      <c r="F10" s="60"/>
      <c r="G10" s="60"/>
      <c r="H10" s="60"/>
      <c r="I10" s="60"/>
      <c r="J10" s="60"/>
      <c r="K10" s="60"/>
      <c r="L10" s="60"/>
      <c r="M10" s="59" t="s">
        <v>897</v>
      </c>
      <c r="N10" s="59"/>
      <c r="O10" s="59"/>
      <c r="P10" s="59"/>
      <c r="Q10" s="59"/>
      <c r="R10" s="59"/>
      <c r="S10" s="59"/>
    </row>
    <row r="11" spans="1:19" s="64" customFormat="1" x14ac:dyDescent="0.25">
      <c r="A11" s="67" t="s">
        <v>4</v>
      </c>
      <c r="B11" s="67" t="s">
        <v>24</v>
      </c>
      <c r="C11" s="61" t="s">
        <v>418</v>
      </c>
      <c r="D11" s="69" t="s">
        <v>35</v>
      </c>
      <c r="E11" s="60"/>
      <c r="F11" s="60"/>
      <c r="G11" s="60"/>
      <c r="H11" s="60"/>
      <c r="I11" s="60"/>
      <c r="J11" s="60"/>
      <c r="K11" s="60"/>
      <c r="L11" s="60"/>
      <c r="M11" s="59" t="s">
        <v>898</v>
      </c>
      <c r="N11" s="59"/>
      <c r="O11" s="59"/>
      <c r="P11" s="59"/>
      <c r="Q11" s="59"/>
      <c r="R11" s="59"/>
      <c r="S11" s="59"/>
    </row>
    <row r="12" spans="1:19" s="64" customFormat="1" x14ac:dyDescent="0.25">
      <c r="A12" s="67" t="s">
        <v>4</v>
      </c>
      <c r="B12" s="67" t="s">
        <v>24</v>
      </c>
      <c r="C12" s="61" t="s">
        <v>389</v>
      </c>
      <c r="D12" s="69" t="s">
        <v>500</v>
      </c>
      <c r="E12" s="60"/>
      <c r="F12" s="60"/>
      <c r="G12" s="60"/>
      <c r="H12" s="60"/>
      <c r="I12" s="60"/>
      <c r="J12" s="60"/>
      <c r="K12" s="60"/>
      <c r="L12" s="60"/>
      <c r="M12" s="59" t="s">
        <v>899</v>
      </c>
      <c r="N12" s="59"/>
      <c r="O12" s="59"/>
      <c r="P12" s="59"/>
      <c r="Q12" s="59"/>
      <c r="R12" s="59"/>
      <c r="S12" s="59"/>
    </row>
    <row r="13" spans="1:19" s="64" customFormat="1" x14ac:dyDescent="0.25">
      <c r="A13" s="67" t="s">
        <v>4</v>
      </c>
      <c r="B13" s="67" t="s">
        <v>24</v>
      </c>
      <c r="C13" s="79" t="s">
        <v>800</v>
      </c>
      <c r="D13" s="68" t="s">
        <v>501</v>
      </c>
      <c r="E13" s="68" t="s">
        <v>493</v>
      </c>
      <c r="F13" s="68" t="s">
        <v>493</v>
      </c>
      <c r="G13" s="68" t="s">
        <v>493</v>
      </c>
      <c r="H13" s="68" t="s">
        <v>493</v>
      </c>
      <c r="I13" s="68" t="s">
        <v>493</v>
      </c>
      <c r="J13" s="68" t="s">
        <v>493</v>
      </c>
      <c r="K13" s="68" t="s">
        <v>493</v>
      </c>
      <c r="L13" s="68" t="s">
        <v>493</v>
      </c>
      <c r="M13" s="60" t="s">
        <v>28</v>
      </c>
      <c r="N13" s="60"/>
      <c r="O13" s="60"/>
      <c r="P13" s="60"/>
      <c r="Q13" s="60"/>
      <c r="R13" s="60"/>
      <c r="S13" s="60"/>
    </row>
    <row r="14" spans="1:19" s="64" customFormat="1" ht="15.75" thickBot="1" x14ac:dyDescent="0.3">
      <c r="A14" s="67" t="s">
        <v>9</v>
      </c>
      <c r="B14" s="67" t="s">
        <v>24</v>
      </c>
      <c r="C14" s="78" t="s">
        <v>2</v>
      </c>
      <c r="D14" s="68" t="s">
        <v>28</v>
      </c>
      <c r="E14" s="68" t="s">
        <v>28</v>
      </c>
      <c r="F14" s="68" t="s">
        <v>28</v>
      </c>
      <c r="G14" s="68" t="s">
        <v>28</v>
      </c>
      <c r="H14" s="68" t="s">
        <v>28</v>
      </c>
      <c r="I14" s="68" t="s">
        <v>28</v>
      </c>
      <c r="J14" s="68" t="s">
        <v>28</v>
      </c>
      <c r="K14" s="68" t="s">
        <v>28</v>
      </c>
      <c r="L14" s="68" t="s">
        <v>28</v>
      </c>
      <c r="M14" s="59" t="s">
        <v>9</v>
      </c>
      <c r="N14" s="59" t="s">
        <v>9</v>
      </c>
      <c r="O14" s="59" t="s">
        <v>9</v>
      </c>
      <c r="P14" s="59" t="s">
        <v>9</v>
      </c>
      <c r="Q14" s="59" t="s">
        <v>9</v>
      </c>
      <c r="R14" s="59" t="s">
        <v>9</v>
      </c>
      <c r="S14" s="59" t="s">
        <v>9</v>
      </c>
    </row>
    <row r="15" spans="1:19" s="64" customFormat="1" ht="15.75" thickBot="1" x14ac:dyDescent="0.3">
      <c r="A15" s="67" t="s">
        <v>9</v>
      </c>
      <c r="B15" s="67" t="s">
        <v>24</v>
      </c>
      <c r="C15" s="80" t="s">
        <v>396</v>
      </c>
      <c r="D15" s="81" t="s">
        <v>492</v>
      </c>
      <c r="E15" s="60"/>
      <c r="F15" s="60"/>
      <c r="G15" s="60"/>
      <c r="H15" s="60"/>
      <c r="I15" s="60"/>
      <c r="J15" s="60"/>
      <c r="K15" s="60"/>
      <c r="L15" s="60"/>
      <c r="M15" s="60" t="s">
        <v>1113</v>
      </c>
      <c r="N15" s="60" t="s">
        <v>1113</v>
      </c>
      <c r="O15" s="60" t="s">
        <v>1113</v>
      </c>
      <c r="P15" s="60" t="s">
        <v>1113</v>
      </c>
      <c r="Q15" s="60" t="s">
        <v>1113</v>
      </c>
      <c r="R15" s="60" t="s">
        <v>1113</v>
      </c>
      <c r="S15" s="60" t="s">
        <v>1113</v>
      </c>
    </row>
    <row r="16" spans="1:19" s="64" customFormat="1" x14ac:dyDescent="0.25">
      <c r="A16" s="77" t="s">
        <v>9</v>
      </c>
      <c r="B16" s="67" t="s">
        <v>24</v>
      </c>
      <c r="C16" s="82" t="s">
        <v>388</v>
      </c>
      <c r="D16" s="68" t="s">
        <v>493</v>
      </c>
      <c r="E16" s="68" t="s">
        <v>492</v>
      </c>
      <c r="F16" s="68" t="s">
        <v>492</v>
      </c>
      <c r="G16" s="68" t="s">
        <v>492</v>
      </c>
      <c r="H16" s="68" t="s">
        <v>492</v>
      </c>
      <c r="I16" s="68" t="s">
        <v>492</v>
      </c>
      <c r="J16" s="68" t="s">
        <v>492</v>
      </c>
      <c r="K16" s="68" t="s">
        <v>492</v>
      </c>
      <c r="L16" s="68" t="s">
        <v>492</v>
      </c>
      <c r="M16" s="59" t="s">
        <v>28</v>
      </c>
      <c r="N16" s="59" t="s">
        <v>28</v>
      </c>
      <c r="O16" s="59" t="s">
        <v>28</v>
      </c>
      <c r="P16" s="59" t="s">
        <v>28</v>
      </c>
      <c r="Q16" s="59" t="s">
        <v>28</v>
      </c>
      <c r="R16" s="59" t="s">
        <v>28</v>
      </c>
      <c r="S16" s="59" t="s">
        <v>28</v>
      </c>
    </row>
    <row r="17" spans="1:19" s="64" customFormat="1" x14ac:dyDescent="0.25">
      <c r="A17" s="74" t="s">
        <v>9</v>
      </c>
      <c r="B17" s="67" t="s">
        <v>24</v>
      </c>
      <c r="C17" s="62" t="s">
        <v>397</v>
      </c>
      <c r="D17" s="68" t="s">
        <v>494</v>
      </c>
      <c r="E17" s="60"/>
      <c r="F17" s="60"/>
      <c r="G17" s="60"/>
      <c r="H17" s="60"/>
      <c r="I17" s="60"/>
      <c r="J17" s="60"/>
      <c r="K17" s="60"/>
      <c r="L17" s="60"/>
      <c r="M17" s="59" t="s">
        <v>905</v>
      </c>
      <c r="N17" s="59" t="s">
        <v>871</v>
      </c>
      <c r="O17" s="59" t="s">
        <v>872</v>
      </c>
      <c r="P17" s="59" t="s">
        <v>873</v>
      </c>
      <c r="Q17" s="59" t="s">
        <v>874</v>
      </c>
      <c r="R17" s="59" t="s">
        <v>875</v>
      </c>
      <c r="S17" s="59" t="s">
        <v>885</v>
      </c>
    </row>
    <row r="18" spans="1:19" s="64" customFormat="1" x14ac:dyDescent="0.25">
      <c r="A18" s="73" t="s">
        <v>9</v>
      </c>
      <c r="B18" s="67" t="s">
        <v>24</v>
      </c>
      <c r="C18" s="62" t="s">
        <v>398</v>
      </c>
      <c r="D18" s="68" t="s">
        <v>495</v>
      </c>
      <c r="E18" s="60"/>
      <c r="F18" s="60"/>
      <c r="G18" s="60"/>
      <c r="H18" s="60"/>
      <c r="I18" s="60"/>
      <c r="J18" s="60"/>
      <c r="K18" s="60"/>
      <c r="L18" s="60"/>
      <c r="M18" s="59" t="s">
        <v>905</v>
      </c>
      <c r="N18" s="59" t="s">
        <v>876</v>
      </c>
      <c r="O18" s="59" t="s">
        <v>877</v>
      </c>
      <c r="P18" s="59" t="s">
        <v>878</v>
      </c>
      <c r="Q18" s="59" t="s">
        <v>879</v>
      </c>
      <c r="R18" s="59" t="s">
        <v>432</v>
      </c>
      <c r="S18" s="59" t="s">
        <v>886</v>
      </c>
    </row>
    <row r="19" spans="1:19" s="64" customFormat="1" x14ac:dyDescent="0.25">
      <c r="A19" s="67" t="s">
        <v>9</v>
      </c>
      <c r="B19" s="67" t="s">
        <v>24</v>
      </c>
      <c r="C19" s="61" t="s">
        <v>399</v>
      </c>
      <c r="D19" s="66" t="s">
        <v>496</v>
      </c>
      <c r="E19" s="60"/>
      <c r="F19" s="60"/>
      <c r="G19" s="60"/>
      <c r="H19" s="60"/>
      <c r="I19" s="60"/>
      <c r="J19" s="60"/>
      <c r="K19" s="60"/>
      <c r="L19" s="60"/>
      <c r="M19" s="59" t="s">
        <v>1021</v>
      </c>
      <c r="N19" s="59"/>
      <c r="O19" s="59"/>
      <c r="P19" s="59"/>
      <c r="Q19" s="59"/>
      <c r="R19" s="59"/>
      <c r="S19" s="59"/>
    </row>
    <row r="20" spans="1:19" s="64" customFormat="1" x14ac:dyDescent="0.25">
      <c r="A20" s="67" t="s">
        <v>9</v>
      </c>
      <c r="B20" s="67" t="s">
        <v>24</v>
      </c>
      <c r="C20" s="61" t="s">
        <v>400</v>
      </c>
      <c r="D20" s="66" t="s">
        <v>497</v>
      </c>
      <c r="E20" s="60"/>
      <c r="F20" s="60"/>
      <c r="G20" s="60"/>
      <c r="H20" s="60"/>
      <c r="I20" s="60"/>
      <c r="J20" s="60"/>
      <c r="K20" s="60"/>
      <c r="L20" s="60"/>
      <c r="M20" s="59" t="s">
        <v>1022</v>
      </c>
      <c r="N20" s="59"/>
      <c r="O20" s="59"/>
      <c r="P20" s="59"/>
      <c r="Q20" s="59"/>
      <c r="R20" s="59"/>
      <c r="S20" s="59"/>
    </row>
    <row r="21" spans="1:19" s="64" customFormat="1" x14ac:dyDescent="0.25">
      <c r="A21" s="67" t="s">
        <v>9</v>
      </c>
      <c r="B21" s="67" t="s">
        <v>24</v>
      </c>
      <c r="C21" s="61" t="s">
        <v>401</v>
      </c>
      <c r="D21" s="68" t="s">
        <v>498</v>
      </c>
      <c r="E21" s="60"/>
      <c r="F21" s="60"/>
      <c r="G21" s="60"/>
      <c r="H21" s="60"/>
      <c r="I21" s="60"/>
      <c r="J21" s="60"/>
      <c r="K21" s="60"/>
      <c r="L21" s="60"/>
      <c r="M21" s="59" t="s">
        <v>419</v>
      </c>
      <c r="N21" s="59" t="s">
        <v>433</v>
      </c>
      <c r="O21" s="59" t="s">
        <v>435</v>
      </c>
      <c r="P21" s="59" t="s">
        <v>437</v>
      </c>
      <c r="Q21" s="59" t="s">
        <v>439</v>
      </c>
      <c r="R21" s="59" t="s">
        <v>441</v>
      </c>
      <c r="S21" s="59" t="s">
        <v>887</v>
      </c>
    </row>
    <row r="22" spans="1:19" s="64" customFormat="1" x14ac:dyDescent="0.25">
      <c r="A22" s="67" t="s">
        <v>9</v>
      </c>
      <c r="B22" s="67" t="s">
        <v>24</v>
      </c>
      <c r="C22" s="61" t="s">
        <v>402</v>
      </c>
      <c r="D22" s="68" t="s">
        <v>499</v>
      </c>
      <c r="E22" s="60"/>
      <c r="F22" s="60"/>
      <c r="G22" s="60"/>
      <c r="H22" s="60"/>
      <c r="I22" s="60"/>
      <c r="J22" s="60"/>
      <c r="K22" s="60"/>
      <c r="L22" s="60"/>
      <c r="M22" s="59" t="s">
        <v>420</v>
      </c>
      <c r="N22" s="59" t="s">
        <v>434</v>
      </c>
      <c r="O22" s="59" t="s">
        <v>436</v>
      </c>
      <c r="P22" s="59" t="s">
        <v>438</v>
      </c>
      <c r="Q22" s="59" t="s">
        <v>440</v>
      </c>
      <c r="R22" s="59" t="s">
        <v>442</v>
      </c>
      <c r="S22" s="59" t="s">
        <v>888</v>
      </c>
    </row>
    <row r="23" spans="1:19" s="64" customFormat="1" x14ac:dyDescent="0.25">
      <c r="A23" s="67" t="s">
        <v>9</v>
      </c>
      <c r="B23" s="67" t="s">
        <v>24</v>
      </c>
      <c r="C23" s="61" t="s">
        <v>403</v>
      </c>
      <c r="D23" s="69" t="s">
        <v>35</v>
      </c>
      <c r="E23" s="60"/>
      <c r="F23" s="60"/>
      <c r="G23" s="60"/>
      <c r="H23" s="60"/>
      <c r="I23" s="60"/>
      <c r="J23" s="60"/>
      <c r="K23" s="60"/>
      <c r="L23" s="60"/>
      <c r="M23" s="59" t="s">
        <v>421</v>
      </c>
      <c r="N23" s="59" t="s">
        <v>262</v>
      </c>
      <c r="O23" s="59" t="s">
        <v>445</v>
      </c>
      <c r="P23" s="59" t="s">
        <v>446</v>
      </c>
      <c r="Q23" s="59" t="s">
        <v>443</v>
      </c>
      <c r="R23" s="59" t="s">
        <v>444</v>
      </c>
      <c r="S23" s="59" t="s">
        <v>889</v>
      </c>
    </row>
    <row r="24" spans="1:19" s="64" customFormat="1" x14ac:dyDescent="0.25">
      <c r="A24" s="67" t="s">
        <v>9</v>
      </c>
      <c r="B24" s="67" t="s">
        <v>24</v>
      </c>
      <c r="C24" s="61" t="s">
        <v>404</v>
      </c>
      <c r="D24" s="68" t="s">
        <v>500</v>
      </c>
      <c r="E24" s="60"/>
      <c r="F24" s="60"/>
      <c r="G24" s="60"/>
      <c r="H24" s="60"/>
      <c r="I24" s="60"/>
      <c r="J24" s="60"/>
      <c r="K24" s="60"/>
      <c r="L24" s="60"/>
      <c r="M24" s="59" t="s">
        <v>29</v>
      </c>
      <c r="N24" s="59" t="s">
        <v>451</v>
      </c>
      <c r="O24" s="59" t="s">
        <v>449</v>
      </c>
      <c r="P24" s="59" t="s">
        <v>450</v>
      </c>
      <c r="Q24" s="59" t="s">
        <v>448</v>
      </c>
      <c r="R24" s="59" t="s">
        <v>447</v>
      </c>
      <c r="S24" s="59" t="s">
        <v>890</v>
      </c>
    </row>
    <row r="25" spans="1:19" s="64" customFormat="1" x14ac:dyDescent="0.25">
      <c r="A25" s="67" t="s">
        <v>9</v>
      </c>
      <c r="B25" s="67" t="s">
        <v>24</v>
      </c>
      <c r="C25" s="61" t="s">
        <v>8</v>
      </c>
      <c r="D25" s="68" t="s">
        <v>501</v>
      </c>
      <c r="E25" s="60"/>
      <c r="F25" s="60"/>
      <c r="G25" s="60"/>
      <c r="H25" s="60"/>
      <c r="I25" s="60"/>
      <c r="J25" s="60"/>
      <c r="K25" s="60"/>
      <c r="L25" s="60"/>
      <c r="M25" s="59" t="s">
        <v>929</v>
      </c>
      <c r="N25" s="59" t="s">
        <v>963</v>
      </c>
      <c r="O25" s="59" t="s">
        <v>929</v>
      </c>
      <c r="P25" s="59" t="s">
        <v>937</v>
      </c>
      <c r="Q25" s="59" t="s">
        <v>936</v>
      </c>
      <c r="R25" s="59" t="s">
        <v>934</v>
      </c>
      <c r="S25" s="59" t="s">
        <v>868</v>
      </c>
    </row>
    <row r="26" spans="1:19" s="64" customFormat="1" x14ac:dyDescent="0.25">
      <c r="A26" s="67" t="s">
        <v>9</v>
      </c>
      <c r="B26" s="67" t="s">
        <v>24</v>
      </c>
      <c r="C26" s="61" t="s">
        <v>405</v>
      </c>
      <c r="D26" s="68" t="s">
        <v>502</v>
      </c>
      <c r="E26" s="60"/>
      <c r="F26" s="60"/>
      <c r="G26" s="60"/>
      <c r="H26" s="60"/>
      <c r="I26" s="60"/>
      <c r="J26" s="60"/>
      <c r="K26" s="60"/>
      <c r="L26" s="60"/>
      <c r="M26" s="59" t="s">
        <v>333</v>
      </c>
      <c r="N26" s="59" t="s">
        <v>948</v>
      </c>
      <c r="O26" s="59" t="s">
        <v>933</v>
      </c>
      <c r="P26" s="59" t="s">
        <v>933</v>
      </c>
      <c r="Q26" s="59" t="s">
        <v>869</v>
      </c>
      <c r="R26" s="59" t="s">
        <v>884</v>
      </c>
      <c r="S26" s="59" t="s">
        <v>784</v>
      </c>
    </row>
    <row r="27" spans="1:19" s="64" customFormat="1" x14ac:dyDescent="0.25">
      <c r="A27" s="67" t="s">
        <v>9</v>
      </c>
      <c r="B27" s="67" t="s">
        <v>24</v>
      </c>
      <c r="C27" s="61" t="s">
        <v>7</v>
      </c>
      <c r="D27" s="66" t="s">
        <v>503</v>
      </c>
      <c r="E27" s="60"/>
      <c r="F27" s="60"/>
      <c r="G27" s="60"/>
      <c r="H27" s="60"/>
      <c r="I27" s="60"/>
      <c r="J27" s="60"/>
      <c r="K27" s="60"/>
      <c r="L27" s="60"/>
      <c r="M27" s="59" t="s">
        <v>426</v>
      </c>
      <c r="N27" s="59" t="s">
        <v>845</v>
      </c>
      <c r="O27" s="59" t="s">
        <v>846</v>
      </c>
      <c r="P27" s="59" t="s">
        <v>847</v>
      </c>
      <c r="Q27" s="59" t="s">
        <v>848</v>
      </c>
      <c r="R27" s="59" t="s">
        <v>36</v>
      </c>
      <c r="S27" s="59" t="s">
        <v>36</v>
      </c>
    </row>
    <row r="28" spans="1:19" s="64" customFormat="1" x14ac:dyDescent="0.25">
      <c r="A28" s="67" t="s">
        <v>9</v>
      </c>
      <c r="B28" s="67" t="s">
        <v>24</v>
      </c>
      <c r="C28" s="61" t="s">
        <v>521</v>
      </c>
      <c r="D28" s="60"/>
      <c r="E28" s="69" t="s">
        <v>493</v>
      </c>
      <c r="F28" s="69" t="s">
        <v>493</v>
      </c>
      <c r="G28" s="69" t="s">
        <v>493</v>
      </c>
      <c r="H28" s="69" t="s">
        <v>493</v>
      </c>
      <c r="I28" s="69" t="s">
        <v>493</v>
      </c>
      <c r="J28" s="69" t="s">
        <v>493</v>
      </c>
      <c r="K28" s="69" t="s">
        <v>493</v>
      </c>
      <c r="L28" s="69" t="s">
        <v>493</v>
      </c>
      <c r="M28" s="59" t="s">
        <v>604</v>
      </c>
      <c r="N28" s="59" t="s">
        <v>605</v>
      </c>
      <c r="O28" s="59" t="s">
        <v>295</v>
      </c>
      <c r="P28" s="59" t="s">
        <v>604</v>
      </c>
      <c r="Q28" s="59" t="s">
        <v>295</v>
      </c>
      <c r="R28" s="59" t="s">
        <v>605</v>
      </c>
      <c r="S28" s="59" t="s">
        <v>605</v>
      </c>
    </row>
    <row r="29" spans="1:19" s="64" customFormat="1" x14ac:dyDescent="0.25">
      <c r="A29" s="67" t="s">
        <v>9</v>
      </c>
      <c r="B29" s="67" t="s">
        <v>24</v>
      </c>
      <c r="C29" s="61" t="s">
        <v>522</v>
      </c>
      <c r="D29" s="60"/>
      <c r="E29" s="68" t="s">
        <v>494</v>
      </c>
      <c r="F29" s="68" t="s">
        <v>494</v>
      </c>
      <c r="G29" s="68" t="s">
        <v>494</v>
      </c>
      <c r="H29" s="68" t="s">
        <v>494</v>
      </c>
      <c r="I29" s="68" t="s">
        <v>494</v>
      </c>
      <c r="J29" s="68" t="s">
        <v>494</v>
      </c>
      <c r="K29" s="68" t="s">
        <v>494</v>
      </c>
      <c r="L29" s="68" t="s">
        <v>494</v>
      </c>
      <c r="M29" s="60" t="s">
        <v>606</v>
      </c>
      <c r="N29" s="60" t="s">
        <v>607</v>
      </c>
      <c r="O29" s="60" t="s">
        <v>608</v>
      </c>
      <c r="P29" s="60" t="s">
        <v>609</v>
      </c>
      <c r="Q29" s="59" t="s">
        <v>610</v>
      </c>
      <c r="R29" s="60" t="s">
        <v>611</v>
      </c>
      <c r="S29" s="60" t="s">
        <v>611</v>
      </c>
    </row>
    <row r="30" spans="1:19" s="64" customFormat="1" x14ac:dyDescent="0.25">
      <c r="A30" s="67" t="s">
        <v>9</v>
      </c>
      <c r="B30" s="67" t="s">
        <v>24</v>
      </c>
      <c r="C30" s="61" t="s">
        <v>64</v>
      </c>
      <c r="D30" s="60"/>
      <c r="E30" s="68" t="s">
        <v>495</v>
      </c>
      <c r="F30" s="68" t="s">
        <v>495</v>
      </c>
      <c r="G30" s="68" t="s">
        <v>495</v>
      </c>
      <c r="H30" s="68" t="s">
        <v>495</v>
      </c>
      <c r="I30" s="68" t="s">
        <v>495</v>
      </c>
      <c r="J30" s="68" t="s">
        <v>495</v>
      </c>
      <c r="K30" s="68" t="s">
        <v>495</v>
      </c>
      <c r="L30" s="68" t="s">
        <v>495</v>
      </c>
      <c r="M30" s="60" t="s">
        <v>612</v>
      </c>
      <c r="N30" s="60" t="s">
        <v>613</v>
      </c>
      <c r="O30" s="60" t="s">
        <v>614</v>
      </c>
      <c r="P30" s="60" t="s">
        <v>615</v>
      </c>
      <c r="Q30" s="59" t="s">
        <v>617</v>
      </c>
      <c r="R30" s="60" t="s">
        <v>616</v>
      </c>
      <c r="S30" s="60" t="s">
        <v>616</v>
      </c>
    </row>
    <row r="31" spans="1:19" s="64" customFormat="1" x14ac:dyDescent="0.25">
      <c r="A31" s="67" t="s">
        <v>9</v>
      </c>
      <c r="B31" s="67" t="s">
        <v>24</v>
      </c>
      <c r="C31" s="61" t="s">
        <v>92</v>
      </c>
      <c r="D31" s="60"/>
      <c r="E31" s="60"/>
      <c r="F31" s="60"/>
      <c r="G31" s="69" t="s">
        <v>496</v>
      </c>
      <c r="H31" s="69" t="s">
        <v>496</v>
      </c>
      <c r="I31" s="69" t="s">
        <v>496</v>
      </c>
      <c r="J31" s="69" t="s">
        <v>496</v>
      </c>
      <c r="K31" s="69" t="s">
        <v>496</v>
      </c>
      <c r="L31" s="69" t="s">
        <v>496</v>
      </c>
      <c r="M31" s="60"/>
      <c r="N31" s="60"/>
      <c r="O31" s="60"/>
      <c r="P31" s="60"/>
      <c r="Q31" s="60"/>
      <c r="R31" s="60"/>
      <c r="S31" s="60"/>
    </row>
    <row r="32" spans="1:19" s="64" customFormat="1" x14ac:dyDescent="0.25">
      <c r="A32" s="67" t="s">
        <v>9</v>
      </c>
      <c r="B32" s="67" t="s">
        <v>24</v>
      </c>
      <c r="C32" s="61" t="s">
        <v>594</v>
      </c>
      <c r="D32" s="60"/>
      <c r="E32" s="60"/>
      <c r="F32" s="60"/>
      <c r="G32" s="66" t="s">
        <v>498</v>
      </c>
      <c r="H32" s="66" t="s">
        <v>498</v>
      </c>
      <c r="I32" s="66" t="s">
        <v>498</v>
      </c>
      <c r="J32" s="66" t="s">
        <v>498</v>
      </c>
      <c r="K32" s="66" t="s">
        <v>498</v>
      </c>
      <c r="L32" s="66" t="s">
        <v>498</v>
      </c>
      <c r="M32" s="60"/>
      <c r="N32" s="60"/>
      <c r="O32" s="60"/>
      <c r="P32" s="60"/>
      <c r="Q32" s="60"/>
      <c r="R32" s="60"/>
      <c r="S32" s="60"/>
    </row>
    <row r="33" spans="1:19" s="64" customFormat="1" x14ac:dyDescent="0.25">
      <c r="A33" s="67" t="s">
        <v>9</v>
      </c>
      <c r="B33" s="67" t="s">
        <v>24</v>
      </c>
      <c r="C33" s="61" t="s">
        <v>595</v>
      </c>
      <c r="D33" s="60"/>
      <c r="E33" s="60"/>
      <c r="F33" s="60"/>
      <c r="G33" s="69" t="s">
        <v>499</v>
      </c>
      <c r="H33" s="69" t="s">
        <v>499</v>
      </c>
      <c r="I33" s="69" t="s">
        <v>499</v>
      </c>
      <c r="J33" s="69" t="s">
        <v>499</v>
      </c>
      <c r="K33" s="69" t="s">
        <v>499</v>
      </c>
      <c r="L33" s="69" t="s">
        <v>499</v>
      </c>
      <c r="M33" s="60"/>
      <c r="N33" s="60"/>
      <c r="O33" s="60"/>
      <c r="P33" s="60"/>
      <c r="Q33" s="60"/>
      <c r="R33" s="60"/>
      <c r="S33" s="60"/>
    </row>
    <row r="34" spans="1:19" s="64" customFormat="1" x14ac:dyDescent="0.25">
      <c r="A34" s="67" t="s">
        <v>9</v>
      </c>
      <c r="B34" s="67" t="s">
        <v>24</v>
      </c>
      <c r="C34" s="61" t="s">
        <v>57</v>
      </c>
      <c r="D34" s="60"/>
      <c r="E34" s="60"/>
      <c r="F34" s="60"/>
      <c r="G34" s="69" t="s">
        <v>35</v>
      </c>
      <c r="H34" s="69" t="s">
        <v>35</v>
      </c>
      <c r="I34" s="69" t="s">
        <v>35</v>
      </c>
      <c r="J34" s="69" t="s">
        <v>35</v>
      </c>
      <c r="K34" s="69" t="s">
        <v>35</v>
      </c>
      <c r="L34" s="69" t="s">
        <v>35</v>
      </c>
      <c r="M34" s="60"/>
      <c r="N34" s="60"/>
      <c r="O34" s="60"/>
      <c r="P34" s="60"/>
      <c r="Q34" s="60"/>
      <c r="R34" s="60"/>
      <c r="S34" s="60"/>
    </row>
    <row r="35" spans="1:19" s="64" customFormat="1" x14ac:dyDescent="0.25">
      <c r="A35" s="76" t="s">
        <v>9</v>
      </c>
      <c r="B35" s="67" t="s">
        <v>24</v>
      </c>
      <c r="C35" s="62" t="s">
        <v>1077</v>
      </c>
      <c r="D35" s="60"/>
      <c r="E35" s="60"/>
      <c r="F35" s="60"/>
      <c r="G35" s="69" t="s">
        <v>500</v>
      </c>
      <c r="H35" s="69" t="s">
        <v>500</v>
      </c>
      <c r="I35" s="69" t="s">
        <v>500</v>
      </c>
      <c r="J35" s="69" t="s">
        <v>500</v>
      </c>
      <c r="K35" s="69" t="s">
        <v>500</v>
      </c>
      <c r="L35" s="69" t="s">
        <v>500</v>
      </c>
      <c r="M35" s="60" t="s">
        <v>1078</v>
      </c>
      <c r="N35" s="60" t="s">
        <v>1079</v>
      </c>
      <c r="O35" s="60" t="s">
        <v>1080</v>
      </c>
      <c r="P35" s="60" t="s">
        <v>1081</v>
      </c>
      <c r="Q35" s="60" t="s">
        <v>1082</v>
      </c>
      <c r="R35" s="60"/>
      <c r="S35" s="60"/>
    </row>
    <row r="36" spans="1:19" s="64" customFormat="1" x14ac:dyDescent="0.25">
      <c r="A36" s="67" t="s">
        <v>9</v>
      </c>
      <c r="B36" s="67" t="s">
        <v>24</v>
      </c>
      <c r="C36" s="61" t="s">
        <v>523</v>
      </c>
      <c r="D36" s="60"/>
      <c r="E36" s="60"/>
      <c r="F36" s="60"/>
      <c r="G36" s="60"/>
      <c r="H36" s="60"/>
      <c r="I36" s="60"/>
      <c r="J36" s="60"/>
      <c r="K36" s="60"/>
      <c r="L36" s="60"/>
      <c r="M36" s="60" t="s">
        <v>618</v>
      </c>
      <c r="N36" s="59" t="s">
        <v>619</v>
      </c>
      <c r="O36" s="60" t="s">
        <v>620</v>
      </c>
      <c r="P36" s="59" t="s">
        <v>622</v>
      </c>
      <c r="Q36" s="60" t="s">
        <v>621</v>
      </c>
      <c r="R36" s="59" t="s">
        <v>623</v>
      </c>
      <c r="S36" s="59" t="s">
        <v>623</v>
      </c>
    </row>
    <row r="37" spans="1:19" s="67" customFormat="1" x14ac:dyDescent="0.25">
      <c r="A37" s="67" t="s">
        <v>9</v>
      </c>
      <c r="B37" s="67" t="s">
        <v>24</v>
      </c>
      <c r="C37" s="62" t="s">
        <v>832</v>
      </c>
      <c r="E37" s="87" t="s">
        <v>496</v>
      </c>
      <c r="F37" s="87" t="s">
        <v>496</v>
      </c>
    </row>
    <row r="38" spans="1:19" s="64" customFormat="1" x14ac:dyDescent="0.25">
      <c r="A38" s="73" t="s">
        <v>9</v>
      </c>
      <c r="B38" s="67" t="s">
        <v>24</v>
      </c>
      <c r="C38" s="62" t="s">
        <v>406</v>
      </c>
      <c r="D38" s="69" t="s">
        <v>504</v>
      </c>
      <c r="E38" s="60"/>
      <c r="F38" s="60"/>
      <c r="G38" s="60"/>
      <c r="H38" s="60"/>
      <c r="I38" s="60"/>
      <c r="J38" s="60"/>
      <c r="K38" s="60"/>
      <c r="L38" s="60"/>
      <c r="M38" s="59" t="s">
        <v>431</v>
      </c>
      <c r="N38" s="59" t="s">
        <v>452</v>
      </c>
      <c r="O38" s="59" t="s">
        <v>453</v>
      </c>
      <c r="P38" s="59" t="s">
        <v>454</v>
      </c>
      <c r="Q38" s="59" t="s">
        <v>455</v>
      </c>
      <c r="R38" s="59" t="s">
        <v>456</v>
      </c>
      <c r="S38" s="59" t="s">
        <v>456</v>
      </c>
    </row>
    <row r="39" spans="1:19" s="64" customFormat="1" x14ac:dyDescent="0.25">
      <c r="A39" s="76" t="s">
        <v>9</v>
      </c>
      <c r="B39" s="67" t="s">
        <v>24</v>
      </c>
      <c r="C39" s="62" t="s">
        <v>407</v>
      </c>
      <c r="D39" s="68" t="s">
        <v>505</v>
      </c>
      <c r="E39" s="60"/>
      <c r="F39" s="60"/>
      <c r="G39" s="60"/>
      <c r="H39" s="60"/>
      <c r="I39" s="60"/>
      <c r="J39" s="60"/>
      <c r="K39" s="60"/>
      <c r="L39" s="60"/>
      <c r="M39" s="59" t="s">
        <v>431</v>
      </c>
      <c r="N39" s="59" t="s">
        <v>457</v>
      </c>
      <c r="O39" s="59" t="s">
        <v>458</v>
      </c>
      <c r="P39" s="59" t="s">
        <v>459</v>
      </c>
      <c r="Q39" s="59" t="s">
        <v>460</v>
      </c>
      <c r="R39" s="59" t="s">
        <v>461</v>
      </c>
      <c r="S39" s="59" t="s">
        <v>461</v>
      </c>
    </row>
    <row r="40" spans="1:19" s="64" customFormat="1" x14ac:dyDescent="0.25">
      <c r="A40" s="67" t="s">
        <v>9</v>
      </c>
      <c r="B40" s="67" t="s">
        <v>24</v>
      </c>
      <c r="C40" s="61" t="s">
        <v>408</v>
      </c>
      <c r="D40" s="69" t="s">
        <v>506</v>
      </c>
      <c r="E40" s="60"/>
      <c r="F40" s="60"/>
      <c r="G40" s="60"/>
      <c r="H40" s="60"/>
      <c r="I40" s="60"/>
      <c r="J40" s="60"/>
      <c r="K40" s="60"/>
      <c r="L40" s="60"/>
      <c r="M40" s="59" t="s">
        <v>431</v>
      </c>
      <c r="N40" s="59" t="s">
        <v>462</v>
      </c>
      <c r="O40" s="59" t="s">
        <v>463</v>
      </c>
      <c r="P40" s="59" t="s">
        <v>464</v>
      </c>
      <c r="Q40" s="59" t="s">
        <v>465</v>
      </c>
      <c r="R40" s="59" t="s">
        <v>466</v>
      </c>
      <c r="S40" s="59" t="s">
        <v>466</v>
      </c>
    </row>
    <row r="41" spans="1:19" s="64" customFormat="1" x14ac:dyDescent="0.25">
      <c r="A41" s="67" t="s">
        <v>9</v>
      </c>
      <c r="B41" s="67" t="s">
        <v>24</v>
      </c>
      <c r="C41" s="61" t="s">
        <v>409</v>
      </c>
      <c r="D41" s="69" t="s">
        <v>507</v>
      </c>
      <c r="E41" s="60"/>
      <c r="F41" s="60"/>
      <c r="G41" s="60"/>
      <c r="H41" s="60"/>
      <c r="I41" s="60"/>
      <c r="J41" s="60"/>
      <c r="K41" s="60"/>
      <c r="L41" s="60"/>
      <c r="M41" s="59" t="s">
        <v>467</v>
      </c>
      <c r="N41" s="59" t="s">
        <v>442</v>
      </c>
      <c r="O41" s="59" t="s">
        <v>468</v>
      </c>
      <c r="P41" s="59" t="s">
        <v>469</v>
      </c>
      <c r="Q41" s="59" t="s">
        <v>470</v>
      </c>
      <c r="R41" s="59" t="s">
        <v>471</v>
      </c>
      <c r="S41" s="59" t="s">
        <v>471</v>
      </c>
    </row>
    <row r="42" spans="1:19" s="64" customFormat="1" x14ac:dyDescent="0.25">
      <c r="A42" s="67" t="s">
        <v>9</v>
      </c>
      <c r="B42" s="67" t="s">
        <v>25</v>
      </c>
      <c r="C42" s="61" t="s">
        <v>410</v>
      </c>
      <c r="D42" s="69" t="s">
        <v>508</v>
      </c>
      <c r="E42" s="60"/>
      <c r="F42" s="60"/>
      <c r="G42" s="60"/>
      <c r="H42" s="60"/>
      <c r="I42" s="60"/>
      <c r="J42" s="60"/>
      <c r="K42" s="60"/>
      <c r="L42" s="60"/>
      <c r="M42" s="59" t="s">
        <v>472</v>
      </c>
      <c r="N42" s="59" t="s">
        <v>473</v>
      </c>
      <c r="O42" s="59" t="s">
        <v>474</v>
      </c>
      <c r="P42" s="59" t="s">
        <v>475</v>
      </c>
      <c r="Q42" s="59" t="s">
        <v>476</v>
      </c>
      <c r="R42" s="59" t="s">
        <v>477</v>
      </c>
      <c r="S42" s="59" t="s">
        <v>901</v>
      </c>
    </row>
    <row r="43" spans="1:19" s="64" customFormat="1" x14ac:dyDescent="0.25">
      <c r="A43" s="67" t="s">
        <v>9</v>
      </c>
      <c r="B43" s="67" t="s">
        <v>25</v>
      </c>
      <c r="C43" s="61" t="s">
        <v>411</v>
      </c>
      <c r="D43" s="69" t="s">
        <v>509</v>
      </c>
      <c r="E43" s="60"/>
      <c r="F43" s="60"/>
      <c r="G43" s="60"/>
      <c r="H43" s="60"/>
      <c r="I43" s="60"/>
      <c r="J43" s="60"/>
      <c r="K43" s="60"/>
      <c r="L43" s="60"/>
      <c r="M43" s="59" t="s">
        <v>478</v>
      </c>
      <c r="N43" s="59" t="s">
        <v>479</v>
      </c>
      <c r="O43" s="59" t="s">
        <v>480</v>
      </c>
      <c r="P43" s="59" t="s">
        <v>481</v>
      </c>
      <c r="Q43" s="59" t="s">
        <v>482</v>
      </c>
      <c r="R43" s="59" t="s">
        <v>483</v>
      </c>
      <c r="S43" s="59" t="s">
        <v>900</v>
      </c>
    </row>
    <row r="44" spans="1:19" s="64" customFormat="1" x14ac:dyDescent="0.25">
      <c r="A44" s="67" t="s">
        <v>9</v>
      </c>
      <c r="B44" s="67" t="s">
        <v>25</v>
      </c>
      <c r="C44" s="61" t="s">
        <v>412</v>
      </c>
      <c r="D44" s="69" t="s">
        <v>510</v>
      </c>
      <c r="E44" s="60"/>
      <c r="F44" s="60"/>
      <c r="G44" s="60"/>
      <c r="H44" s="60"/>
      <c r="I44" s="60"/>
      <c r="J44" s="60"/>
      <c r="K44" s="60"/>
      <c r="L44" s="60"/>
      <c r="M44" s="59" t="s">
        <v>423</v>
      </c>
      <c r="N44" s="59" t="s">
        <v>484</v>
      </c>
      <c r="O44" s="59" t="s">
        <v>423</v>
      </c>
      <c r="P44" s="59" t="s">
        <v>423</v>
      </c>
      <c r="Q44" s="59" t="s">
        <v>423</v>
      </c>
      <c r="R44" s="59" t="s">
        <v>423</v>
      </c>
      <c r="S44" s="59" t="s">
        <v>423</v>
      </c>
    </row>
    <row r="45" spans="1:19" s="64" customFormat="1" x14ac:dyDescent="0.25">
      <c r="A45" s="67" t="s">
        <v>9</v>
      </c>
      <c r="B45" s="67" t="s">
        <v>25</v>
      </c>
      <c r="C45" s="61" t="s">
        <v>413</v>
      </c>
      <c r="D45" s="69" t="s">
        <v>511</v>
      </c>
      <c r="E45" s="60"/>
      <c r="F45" s="60"/>
      <c r="G45" s="60"/>
      <c r="H45" s="60"/>
      <c r="I45" s="60"/>
      <c r="J45" s="60"/>
      <c r="K45" s="60"/>
      <c r="L45" s="60"/>
      <c r="M45" s="59" t="s">
        <v>424</v>
      </c>
      <c r="N45" s="59" t="s">
        <v>485</v>
      </c>
      <c r="O45" s="59" t="s">
        <v>424</v>
      </c>
      <c r="P45" s="59" t="s">
        <v>424</v>
      </c>
      <c r="Q45" s="59" t="s">
        <v>424</v>
      </c>
      <c r="R45" s="59" t="s">
        <v>424</v>
      </c>
      <c r="S45" s="59" t="s">
        <v>424</v>
      </c>
    </row>
    <row r="46" spans="1:19" s="64" customFormat="1" x14ac:dyDescent="0.25">
      <c r="A46" s="67" t="s">
        <v>9</v>
      </c>
      <c r="B46" s="67" t="s">
        <v>25</v>
      </c>
      <c r="C46" s="61" t="s">
        <v>414</v>
      </c>
      <c r="D46" s="69" t="s">
        <v>512</v>
      </c>
      <c r="E46" s="60"/>
      <c r="F46" s="60"/>
      <c r="G46" s="60"/>
      <c r="H46" s="60"/>
      <c r="I46" s="60"/>
      <c r="J46" s="60"/>
      <c r="K46" s="60"/>
      <c r="L46" s="60"/>
      <c r="M46" s="59" t="s">
        <v>425</v>
      </c>
      <c r="N46" s="59" t="s">
        <v>486</v>
      </c>
      <c r="O46" s="59" t="s">
        <v>425</v>
      </c>
      <c r="P46" s="59" t="s">
        <v>425</v>
      </c>
      <c r="Q46" s="59" t="s">
        <v>425</v>
      </c>
      <c r="R46" s="59" t="s">
        <v>425</v>
      </c>
      <c r="S46" s="59" t="s">
        <v>425</v>
      </c>
    </row>
    <row r="47" spans="1:19" s="64" customFormat="1" x14ac:dyDescent="0.25">
      <c r="A47" s="67" t="s">
        <v>9</v>
      </c>
      <c r="B47" s="67" t="s">
        <v>25</v>
      </c>
      <c r="C47" s="61" t="s">
        <v>415</v>
      </c>
      <c r="D47" s="69" t="s">
        <v>513</v>
      </c>
      <c r="E47" s="60"/>
      <c r="F47" s="60"/>
      <c r="G47" s="60"/>
      <c r="H47" s="60"/>
      <c r="I47" s="60"/>
      <c r="J47" s="60"/>
      <c r="K47" s="60"/>
      <c r="L47" s="60"/>
      <c r="M47" s="59" t="s">
        <v>849</v>
      </c>
      <c r="N47" s="59" t="s">
        <v>850</v>
      </c>
      <c r="O47" s="59" t="s">
        <v>851</v>
      </c>
      <c r="P47" s="59" t="s">
        <v>852</v>
      </c>
      <c r="Q47" s="59" t="s">
        <v>853</v>
      </c>
      <c r="R47" s="59" t="s">
        <v>854</v>
      </c>
      <c r="S47" s="59" t="s">
        <v>854</v>
      </c>
    </row>
    <row r="48" spans="1:19" s="64" customFormat="1" x14ac:dyDescent="0.25">
      <c r="A48" s="67" t="s">
        <v>9</v>
      </c>
      <c r="B48" s="67" t="s">
        <v>25</v>
      </c>
      <c r="C48" s="61" t="s">
        <v>16</v>
      </c>
      <c r="D48" s="69" t="s">
        <v>514</v>
      </c>
      <c r="E48" s="60"/>
      <c r="F48" s="60"/>
      <c r="G48" s="60"/>
      <c r="H48" s="60"/>
      <c r="I48" s="60"/>
      <c r="J48" s="60"/>
      <c r="K48" s="60"/>
      <c r="L48" s="60"/>
      <c r="M48" s="59" t="s">
        <v>427</v>
      </c>
      <c r="N48" s="59" t="s">
        <v>427</v>
      </c>
      <c r="O48" s="59" t="s">
        <v>427</v>
      </c>
      <c r="P48" s="59" t="s">
        <v>427</v>
      </c>
      <c r="Q48" s="59" t="s">
        <v>427</v>
      </c>
      <c r="R48" s="59" t="s">
        <v>427</v>
      </c>
      <c r="S48" s="59" t="s">
        <v>427</v>
      </c>
    </row>
    <row r="49" spans="1:19" s="64" customFormat="1" x14ac:dyDescent="0.25">
      <c r="A49" s="67" t="s">
        <v>9</v>
      </c>
      <c r="B49" s="67" t="s">
        <v>24</v>
      </c>
      <c r="C49" s="61" t="s">
        <v>524</v>
      </c>
      <c r="D49" s="60"/>
      <c r="E49" s="69" t="s">
        <v>497</v>
      </c>
      <c r="F49" s="69" t="s">
        <v>497</v>
      </c>
      <c r="G49" s="69" t="s">
        <v>501</v>
      </c>
      <c r="H49" s="69" t="s">
        <v>501</v>
      </c>
      <c r="I49" s="69" t="s">
        <v>501</v>
      </c>
      <c r="J49" s="69" t="s">
        <v>501</v>
      </c>
      <c r="K49" s="69" t="s">
        <v>501</v>
      </c>
      <c r="L49" s="69" t="s">
        <v>501</v>
      </c>
      <c r="M49" s="60" t="s">
        <v>624</v>
      </c>
      <c r="N49" s="60" t="s">
        <v>625</v>
      </c>
      <c r="O49" s="60" t="s">
        <v>626</v>
      </c>
      <c r="P49" s="60" t="s">
        <v>627</v>
      </c>
      <c r="Q49" s="60" t="s">
        <v>628</v>
      </c>
      <c r="R49" s="60" t="s">
        <v>629</v>
      </c>
      <c r="S49" s="60" t="s">
        <v>629</v>
      </c>
    </row>
    <row r="50" spans="1:19" s="64" customFormat="1" x14ac:dyDescent="0.25">
      <c r="A50" s="67" t="s">
        <v>9</v>
      </c>
      <c r="B50" s="67" t="s">
        <v>24</v>
      </c>
      <c r="C50" s="61" t="s">
        <v>525</v>
      </c>
      <c r="D50" s="60"/>
      <c r="E50" s="69" t="s">
        <v>498</v>
      </c>
      <c r="F50" s="69" t="s">
        <v>498</v>
      </c>
      <c r="G50" s="69" t="s">
        <v>511</v>
      </c>
      <c r="H50" s="69" t="s">
        <v>511</v>
      </c>
      <c r="I50" s="69" t="s">
        <v>511</v>
      </c>
      <c r="J50" s="69" t="s">
        <v>511</v>
      </c>
      <c r="K50" s="69" t="s">
        <v>511</v>
      </c>
      <c r="L50" s="69" t="s">
        <v>511</v>
      </c>
      <c r="M50" s="60" t="s">
        <v>630</v>
      </c>
      <c r="N50" s="60" t="s">
        <v>631</v>
      </c>
      <c r="O50" s="60" t="s">
        <v>632</v>
      </c>
      <c r="P50" s="60" t="s">
        <v>633</v>
      </c>
      <c r="Q50" s="60" t="s">
        <v>634</v>
      </c>
      <c r="R50" s="60" t="s">
        <v>635</v>
      </c>
      <c r="S50" s="60" t="s">
        <v>635</v>
      </c>
    </row>
    <row r="51" spans="1:19" s="64" customFormat="1" x14ac:dyDescent="0.25">
      <c r="A51" s="67" t="s">
        <v>9</v>
      </c>
      <c r="B51" s="67" t="s">
        <v>24</v>
      </c>
      <c r="C51" s="61" t="s">
        <v>833</v>
      </c>
      <c r="D51" s="60"/>
      <c r="E51" s="69" t="s">
        <v>499</v>
      </c>
      <c r="F51" s="69" t="s">
        <v>499</v>
      </c>
      <c r="G51" s="60"/>
      <c r="H51" s="60"/>
      <c r="I51" s="60"/>
      <c r="J51" s="60"/>
      <c r="K51" s="60"/>
      <c r="L51" s="60"/>
      <c r="M51" s="86" t="s">
        <v>834</v>
      </c>
      <c r="N51" s="86" t="s">
        <v>835</v>
      </c>
      <c r="O51" s="86" t="s">
        <v>836</v>
      </c>
      <c r="P51" s="86" t="s">
        <v>837</v>
      </c>
      <c r="Q51" s="86" t="s">
        <v>838</v>
      </c>
      <c r="R51" s="86" t="s">
        <v>839</v>
      </c>
      <c r="S51" s="86" t="s">
        <v>839</v>
      </c>
    </row>
    <row r="52" spans="1:19" s="64" customFormat="1" x14ac:dyDescent="0.25">
      <c r="A52" s="67" t="s">
        <v>9</v>
      </c>
      <c r="B52" s="67" t="s">
        <v>24</v>
      </c>
      <c r="C52" s="61" t="s">
        <v>526</v>
      </c>
      <c r="D52" s="60"/>
      <c r="E52" s="68" t="s">
        <v>35</v>
      </c>
      <c r="F52" s="68" t="s">
        <v>35</v>
      </c>
      <c r="G52" s="60"/>
      <c r="H52" s="60"/>
      <c r="I52" s="60"/>
      <c r="J52" s="60"/>
      <c r="K52" s="60"/>
      <c r="L52" s="60"/>
      <c r="M52" s="59" t="s">
        <v>636</v>
      </c>
      <c r="N52" s="59" t="s">
        <v>840</v>
      </c>
      <c r="O52" s="59" t="s">
        <v>908</v>
      </c>
      <c r="P52" s="59" t="s">
        <v>909</v>
      </c>
      <c r="Q52" s="59" t="s">
        <v>168</v>
      </c>
      <c r="R52" s="59" t="s">
        <v>636</v>
      </c>
      <c r="S52" s="59" t="s">
        <v>840</v>
      </c>
    </row>
    <row r="53" spans="1:19" s="64" customFormat="1" x14ac:dyDescent="0.25">
      <c r="A53" s="67" t="s">
        <v>9</v>
      </c>
      <c r="B53" s="67" t="s">
        <v>24</v>
      </c>
      <c r="C53" s="61" t="s">
        <v>596</v>
      </c>
      <c r="D53" s="60"/>
      <c r="E53" s="60"/>
      <c r="F53" s="60"/>
      <c r="G53" s="69" t="s">
        <v>502</v>
      </c>
      <c r="H53" s="69" t="s">
        <v>502</v>
      </c>
      <c r="I53" s="69" t="s">
        <v>502</v>
      </c>
      <c r="J53" s="69" t="s">
        <v>502</v>
      </c>
      <c r="K53" s="69" t="s">
        <v>502</v>
      </c>
      <c r="L53" s="69" t="s">
        <v>502</v>
      </c>
      <c r="M53" s="60"/>
      <c r="N53" s="60"/>
      <c r="O53" s="60"/>
      <c r="P53" s="60"/>
      <c r="Q53" s="60"/>
      <c r="R53" s="60"/>
      <c r="S53" s="60"/>
    </row>
    <row r="54" spans="1:19" s="64" customFormat="1" x14ac:dyDescent="0.25">
      <c r="A54" s="67" t="s">
        <v>9</v>
      </c>
      <c r="B54" s="67" t="s">
        <v>24</v>
      </c>
      <c r="C54" s="61" t="s">
        <v>527</v>
      </c>
      <c r="D54" s="60"/>
      <c r="E54" s="68" t="s">
        <v>500</v>
      </c>
      <c r="F54" s="68" t="s">
        <v>500</v>
      </c>
      <c r="G54" s="69" t="s">
        <v>503</v>
      </c>
      <c r="H54" s="69" t="s">
        <v>503</v>
      </c>
      <c r="I54" s="69" t="s">
        <v>503</v>
      </c>
      <c r="J54" s="69" t="s">
        <v>503</v>
      </c>
      <c r="K54" s="69" t="s">
        <v>503</v>
      </c>
      <c r="L54" s="69" t="s">
        <v>503</v>
      </c>
      <c r="M54" s="60" t="s">
        <v>637</v>
      </c>
      <c r="N54" s="60" t="s">
        <v>501</v>
      </c>
      <c r="O54" s="60" t="s">
        <v>504</v>
      </c>
      <c r="P54" s="60" t="s">
        <v>515</v>
      </c>
      <c r="Q54" s="60" t="s">
        <v>519</v>
      </c>
      <c r="R54" s="60" t="s">
        <v>638</v>
      </c>
      <c r="S54" s="60" t="s">
        <v>638</v>
      </c>
    </row>
    <row r="55" spans="1:19" s="64" customFormat="1" x14ac:dyDescent="0.25">
      <c r="A55" s="67" t="s">
        <v>9</v>
      </c>
      <c r="B55" s="67" t="s">
        <v>24</v>
      </c>
      <c r="C55" s="61" t="s">
        <v>528</v>
      </c>
      <c r="D55" s="60"/>
      <c r="E55" s="66" t="s">
        <v>501</v>
      </c>
      <c r="F55" s="66" t="s">
        <v>501</v>
      </c>
      <c r="G55" s="60"/>
      <c r="H55" s="60"/>
      <c r="I55" s="60"/>
      <c r="J55" s="60"/>
      <c r="K55" s="60"/>
      <c r="L55" s="60"/>
      <c r="M55" s="60" t="s">
        <v>639</v>
      </c>
      <c r="N55" s="60"/>
      <c r="O55" s="60"/>
      <c r="P55" s="60"/>
      <c r="Q55" s="60"/>
      <c r="R55" s="60" t="s">
        <v>640</v>
      </c>
      <c r="S55" s="60"/>
    </row>
    <row r="56" spans="1:19" s="64" customFormat="1" x14ac:dyDescent="0.25">
      <c r="A56" s="67" t="s">
        <v>9</v>
      </c>
      <c r="B56" s="67" t="s">
        <v>24</v>
      </c>
      <c r="C56" s="61" t="s">
        <v>529</v>
      </c>
      <c r="D56" s="60"/>
      <c r="E56" s="69" t="s">
        <v>502</v>
      </c>
      <c r="F56" s="69" t="s">
        <v>502</v>
      </c>
      <c r="G56" s="60"/>
      <c r="H56" s="60"/>
      <c r="I56" s="60"/>
      <c r="J56" s="60"/>
      <c r="K56" s="60"/>
      <c r="L56" s="60"/>
      <c r="M56" s="59" t="s">
        <v>147</v>
      </c>
      <c r="N56" s="59" t="s">
        <v>147</v>
      </c>
      <c r="O56" s="59" t="s">
        <v>147</v>
      </c>
      <c r="P56" s="59" t="s">
        <v>147</v>
      </c>
      <c r="Q56" s="59" t="s">
        <v>32</v>
      </c>
      <c r="R56" s="59" t="s">
        <v>32</v>
      </c>
      <c r="S56" s="59" t="s">
        <v>32</v>
      </c>
    </row>
    <row r="57" spans="1:19" s="64" customFormat="1" x14ac:dyDescent="0.25">
      <c r="A57" s="67" t="s">
        <v>9</v>
      </c>
      <c r="B57" s="67" t="s">
        <v>24</v>
      </c>
      <c r="C57" s="61" t="s">
        <v>530</v>
      </c>
      <c r="D57" s="60"/>
      <c r="E57" s="69" t="s">
        <v>503</v>
      </c>
      <c r="F57" s="69" t="s">
        <v>503</v>
      </c>
      <c r="G57" s="60"/>
      <c r="H57" s="60"/>
      <c r="I57" s="60"/>
      <c r="J57" s="60"/>
      <c r="K57" s="60"/>
      <c r="L57" s="60"/>
      <c r="M57" s="60" t="s">
        <v>641</v>
      </c>
      <c r="N57" s="60" t="s">
        <v>643</v>
      </c>
      <c r="O57" s="60" t="s">
        <v>644</v>
      </c>
      <c r="P57" s="60" t="s">
        <v>645</v>
      </c>
      <c r="Q57" s="60" t="s">
        <v>646</v>
      </c>
      <c r="R57" s="60" t="s">
        <v>647</v>
      </c>
      <c r="S57" s="60" t="s">
        <v>647</v>
      </c>
    </row>
    <row r="58" spans="1:19" s="64" customFormat="1" x14ac:dyDescent="0.25">
      <c r="A58" s="67" t="s">
        <v>9</v>
      </c>
      <c r="B58" s="67" t="s">
        <v>24</v>
      </c>
      <c r="C58" s="61" t="s">
        <v>531</v>
      </c>
      <c r="D58" s="60"/>
      <c r="E58" s="69" t="s">
        <v>504</v>
      </c>
      <c r="F58" s="69" t="s">
        <v>504</v>
      </c>
      <c r="G58" s="60"/>
      <c r="H58" s="60"/>
      <c r="I58" s="60"/>
      <c r="J58" s="60"/>
      <c r="K58" s="60"/>
      <c r="L58" s="60"/>
      <c r="M58" s="60" t="s">
        <v>642</v>
      </c>
      <c r="N58" s="60" t="s">
        <v>648</v>
      </c>
      <c r="O58" s="60" t="s">
        <v>649</v>
      </c>
      <c r="P58" s="60" t="s">
        <v>650</v>
      </c>
      <c r="Q58" s="60" t="s">
        <v>651</v>
      </c>
      <c r="R58" s="60" t="s">
        <v>652</v>
      </c>
      <c r="S58" s="60" t="s">
        <v>652</v>
      </c>
    </row>
    <row r="59" spans="1:19" s="64" customFormat="1" x14ac:dyDescent="0.25">
      <c r="A59" s="67" t="s">
        <v>9</v>
      </c>
      <c r="B59" s="67" t="s">
        <v>24</v>
      </c>
      <c r="C59" s="61" t="s">
        <v>843</v>
      </c>
      <c r="D59" s="60"/>
      <c r="E59" s="69" t="s">
        <v>505</v>
      </c>
      <c r="F59" s="69" t="s">
        <v>505</v>
      </c>
      <c r="G59" s="60"/>
      <c r="H59" s="60"/>
      <c r="I59" s="60"/>
      <c r="J59" s="60"/>
      <c r="K59" s="60"/>
      <c r="L59" s="60"/>
      <c r="M59" s="59" t="s">
        <v>844</v>
      </c>
      <c r="N59" s="59" t="s">
        <v>844</v>
      </c>
      <c r="O59" s="59" t="s">
        <v>844</v>
      </c>
      <c r="P59" s="59" t="s">
        <v>844</v>
      </c>
      <c r="Q59" s="59" t="s">
        <v>844</v>
      </c>
      <c r="R59" s="59" t="s">
        <v>844</v>
      </c>
      <c r="S59" s="59" t="s">
        <v>844</v>
      </c>
    </row>
    <row r="60" spans="1:19" s="64" customFormat="1" x14ac:dyDescent="0.25">
      <c r="A60" s="67" t="s">
        <v>9</v>
      </c>
      <c r="B60" s="67" t="s">
        <v>24</v>
      </c>
      <c r="C60" s="61" t="s">
        <v>17</v>
      </c>
      <c r="D60" s="69" t="s">
        <v>515</v>
      </c>
      <c r="E60" s="60"/>
      <c r="F60" s="60"/>
      <c r="G60" s="60"/>
      <c r="H60" s="60"/>
      <c r="I60" s="60"/>
      <c r="J60" s="60"/>
      <c r="K60" s="60"/>
      <c r="L60" s="60"/>
      <c r="M60" s="59" t="s">
        <v>881</v>
      </c>
      <c r="N60" s="59" t="s">
        <v>881</v>
      </c>
      <c r="O60" s="59" t="s">
        <v>881</v>
      </c>
      <c r="P60" s="59" t="s">
        <v>881</v>
      </c>
      <c r="Q60" s="59" t="s">
        <v>881</v>
      </c>
      <c r="R60" s="59" t="s">
        <v>881</v>
      </c>
      <c r="S60" s="59" t="s">
        <v>881</v>
      </c>
    </row>
    <row r="61" spans="1:19" s="64" customFormat="1" x14ac:dyDescent="0.25">
      <c r="A61" s="67" t="s">
        <v>9</v>
      </c>
      <c r="B61" s="67" t="s">
        <v>24</v>
      </c>
      <c r="C61" s="61" t="s">
        <v>18</v>
      </c>
      <c r="D61" s="68" t="s">
        <v>516</v>
      </c>
      <c r="E61" s="60"/>
      <c r="F61" s="60"/>
      <c r="G61" s="60"/>
      <c r="H61" s="60"/>
      <c r="I61" s="60"/>
      <c r="J61" s="60"/>
      <c r="K61" s="60"/>
      <c r="L61" s="60"/>
      <c r="M61" s="59" t="s">
        <v>428</v>
      </c>
      <c r="N61" s="59" t="s">
        <v>428</v>
      </c>
      <c r="O61" s="59" t="s">
        <v>428</v>
      </c>
      <c r="P61" s="59" t="s">
        <v>428</v>
      </c>
      <c r="Q61" s="59" t="s">
        <v>428</v>
      </c>
      <c r="R61" s="59" t="s">
        <v>428</v>
      </c>
      <c r="S61" s="59" t="s">
        <v>428</v>
      </c>
    </row>
    <row r="62" spans="1:19" s="64" customFormat="1" x14ac:dyDescent="0.25">
      <c r="A62" s="67" t="s">
        <v>9</v>
      </c>
      <c r="B62" s="67" t="s">
        <v>24</v>
      </c>
      <c r="C62" s="61" t="s">
        <v>416</v>
      </c>
      <c r="D62" s="68" t="s">
        <v>517</v>
      </c>
      <c r="E62" s="60"/>
      <c r="F62" s="60"/>
      <c r="G62" s="60"/>
      <c r="H62" s="60"/>
      <c r="I62" s="60"/>
      <c r="J62" s="60"/>
      <c r="K62" s="60"/>
      <c r="L62" s="60"/>
      <c r="M62" s="59" t="s">
        <v>429</v>
      </c>
      <c r="N62" s="59" t="s">
        <v>488</v>
      </c>
      <c r="O62" s="59" t="s">
        <v>489</v>
      </c>
      <c r="P62" s="59" t="s">
        <v>490</v>
      </c>
      <c r="Q62" s="59" t="s">
        <v>429</v>
      </c>
      <c r="R62" s="59" t="s">
        <v>489</v>
      </c>
      <c r="S62" s="59" t="s">
        <v>488</v>
      </c>
    </row>
    <row r="63" spans="1:19" s="64" customFormat="1" x14ac:dyDescent="0.25">
      <c r="A63" s="67" t="s">
        <v>9</v>
      </c>
      <c r="B63" s="67" t="s">
        <v>24</v>
      </c>
      <c r="C63" s="61" t="s">
        <v>19</v>
      </c>
      <c r="D63" s="69" t="s">
        <v>518</v>
      </c>
      <c r="E63" s="60"/>
      <c r="F63" s="60"/>
      <c r="G63" s="60"/>
      <c r="H63" s="60"/>
      <c r="I63" s="60"/>
      <c r="J63" s="60"/>
      <c r="K63" s="60"/>
      <c r="L63" s="60"/>
      <c r="M63" s="59" t="s">
        <v>430</v>
      </c>
      <c r="N63" s="59" t="s">
        <v>430</v>
      </c>
      <c r="O63" s="59" t="s">
        <v>430</v>
      </c>
      <c r="P63" s="59" t="s">
        <v>430</v>
      </c>
      <c r="Q63" s="59" t="s">
        <v>430</v>
      </c>
      <c r="R63" s="59" t="s">
        <v>430</v>
      </c>
      <c r="S63" s="59" t="s">
        <v>430</v>
      </c>
    </row>
    <row r="64" spans="1:19" s="64" customFormat="1" x14ac:dyDescent="0.25">
      <c r="A64" s="74" t="s">
        <v>9</v>
      </c>
      <c r="B64" s="67" t="s">
        <v>24</v>
      </c>
      <c r="C64" s="61" t="s">
        <v>135</v>
      </c>
      <c r="D64" s="69" t="s">
        <v>519</v>
      </c>
      <c r="E64" s="60"/>
      <c r="F64" s="60"/>
      <c r="G64" s="60"/>
      <c r="H64" s="60"/>
      <c r="I64" s="60"/>
      <c r="J64" s="60"/>
      <c r="K64" s="60"/>
      <c r="L64" s="60"/>
      <c r="M64" s="59" t="s">
        <v>826</v>
      </c>
      <c r="N64" s="59" t="s">
        <v>827</v>
      </c>
      <c r="O64" s="59" t="s">
        <v>828</v>
      </c>
      <c r="P64" s="59" t="s">
        <v>829</v>
      </c>
      <c r="Q64" s="59" t="s">
        <v>830</v>
      </c>
      <c r="R64" s="59" t="s">
        <v>831</v>
      </c>
      <c r="S64" s="59" t="s">
        <v>903</v>
      </c>
    </row>
    <row r="65" spans="1:19" s="64" customFormat="1" x14ac:dyDescent="0.25">
      <c r="A65" s="67" t="s">
        <v>9</v>
      </c>
      <c r="B65" s="67" t="s">
        <v>24</v>
      </c>
      <c r="C65" s="61" t="s">
        <v>910</v>
      </c>
      <c r="D65" s="69" t="s">
        <v>520</v>
      </c>
      <c r="E65" s="60"/>
      <c r="F65" s="60"/>
      <c r="G65" s="60"/>
      <c r="H65" s="60"/>
      <c r="I65" s="60"/>
      <c r="J65" s="60"/>
      <c r="K65" s="60"/>
      <c r="L65" s="60"/>
      <c r="M65" s="59" t="s">
        <v>914</v>
      </c>
      <c r="N65" s="59"/>
      <c r="O65" s="59" t="s">
        <v>915</v>
      </c>
      <c r="P65" s="59" t="s">
        <v>916</v>
      </c>
      <c r="Q65" s="59"/>
      <c r="R65" s="59"/>
      <c r="S65" s="59" t="s">
        <v>917</v>
      </c>
    </row>
    <row r="66" spans="1:19" s="64" customFormat="1" x14ac:dyDescent="0.25">
      <c r="A66" s="67" t="s">
        <v>9</v>
      </c>
      <c r="B66" s="67" t="s">
        <v>24</v>
      </c>
      <c r="C66" s="61" t="s">
        <v>911</v>
      </c>
      <c r="D66" s="69" t="s">
        <v>560</v>
      </c>
      <c r="E66" s="60"/>
      <c r="F66" s="60"/>
      <c r="G66" s="60"/>
      <c r="H66" s="60"/>
      <c r="I66" s="60"/>
      <c r="J66" s="60"/>
      <c r="K66" s="60"/>
      <c r="L66" s="60"/>
      <c r="M66" s="59" t="s">
        <v>918</v>
      </c>
      <c r="N66" s="59"/>
      <c r="O66" s="59" t="s">
        <v>918</v>
      </c>
      <c r="P66" s="59"/>
      <c r="Q66" s="59" t="s">
        <v>925</v>
      </c>
      <c r="R66" s="59" t="s">
        <v>927</v>
      </c>
      <c r="S66" s="59"/>
    </row>
    <row r="67" spans="1:19" s="64" customFormat="1" x14ac:dyDescent="0.25">
      <c r="A67" s="67" t="s">
        <v>9</v>
      </c>
      <c r="B67" s="67" t="s">
        <v>24</v>
      </c>
      <c r="C67" s="61" t="s">
        <v>912</v>
      </c>
      <c r="D67" s="69" t="s">
        <v>561</v>
      </c>
      <c r="E67" s="60"/>
      <c r="F67" s="60"/>
      <c r="G67" s="60"/>
      <c r="H67" s="60"/>
      <c r="I67" s="60"/>
      <c r="J67" s="60"/>
      <c r="K67" s="60"/>
      <c r="L67" s="60"/>
      <c r="M67" s="59" t="s">
        <v>919</v>
      </c>
      <c r="N67" s="59" t="s">
        <v>920</v>
      </c>
      <c r="O67" s="59"/>
      <c r="P67" s="59" t="s">
        <v>921</v>
      </c>
      <c r="Q67" s="59"/>
      <c r="R67" s="59" t="s">
        <v>922</v>
      </c>
      <c r="S67" s="59"/>
    </row>
    <row r="68" spans="1:19" s="64" customFormat="1" x14ac:dyDescent="0.25">
      <c r="A68" s="67" t="s">
        <v>9</v>
      </c>
      <c r="B68" s="67" t="s">
        <v>24</v>
      </c>
      <c r="C68" s="61" t="s">
        <v>913</v>
      </c>
      <c r="D68" s="69" t="s">
        <v>562</v>
      </c>
      <c r="E68" s="60"/>
      <c r="F68" s="60"/>
      <c r="G68" s="60"/>
      <c r="H68" s="60"/>
      <c r="I68" s="60"/>
      <c r="J68" s="60"/>
      <c r="K68" s="60"/>
      <c r="L68" s="60"/>
      <c r="M68" s="59" t="s">
        <v>923</v>
      </c>
      <c r="N68" s="59"/>
      <c r="O68" s="59"/>
      <c r="P68" s="59" t="s">
        <v>924</v>
      </c>
      <c r="Q68" s="59" t="s">
        <v>926</v>
      </c>
      <c r="R68" s="59"/>
      <c r="S68" s="59" t="s">
        <v>928</v>
      </c>
    </row>
    <row r="69" spans="1:19" s="64" customFormat="1" x14ac:dyDescent="0.25">
      <c r="A69" s="67" t="s">
        <v>9</v>
      </c>
      <c r="B69" s="67" t="s">
        <v>24</v>
      </c>
      <c r="C69" s="61" t="s">
        <v>952</v>
      </c>
      <c r="D69" s="66" t="s">
        <v>563</v>
      </c>
      <c r="E69" s="60"/>
      <c r="F69" s="60"/>
      <c r="G69" s="68" t="s">
        <v>497</v>
      </c>
      <c r="H69" s="68" t="s">
        <v>497</v>
      </c>
      <c r="I69" s="68" t="s">
        <v>497</v>
      </c>
      <c r="J69" s="68" t="s">
        <v>497</v>
      </c>
      <c r="K69" s="68" t="s">
        <v>497</v>
      </c>
      <c r="L69" s="68" t="s">
        <v>497</v>
      </c>
      <c r="M69" s="60"/>
      <c r="N69" s="60"/>
      <c r="O69" s="60"/>
      <c r="P69" s="60"/>
      <c r="Q69" s="60"/>
      <c r="R69" s="60"/>
      <c r="S69" s="60"/>
    </row>
    <row r="70" spans="1:19" s="64" customFormat="1" x14ac:dyDescent="0.25">
      <c r="A70" s="67" t="s">
        <v>9</v>
      </c>
      <c r="B70" s="67" t="s">
        <v>24</v>
      </c>
      <c r="C70" s="61" t="s">
        <v>51</v>
      </c>
      <c r="D70" s="60"/>
      <c r="E70" s="66" t="s">
        <v>506</v>
      </c>
      <c r="F70" s="66" t="s">
        <v>506</v>
      </c>
      <c r="G70" s="60"/>
      <c r="H70" s="60"/>
      <c r="I70" s="60"/>
      <c r="J70" s="60"/>
      <c r="K70" s="60"/>
      <c r="L70" s="60"/>
      <c r="M70" s="59" t="s">
        <v>32</v>
      </c>
      <c r="N70" s="59" t="s">
        <v>32</v>
      </c>
      <c r="O70" s="59" t="s">
        <v>147</v>
      </c>
      <c r="P70" s="59"/>
      <c r="Q70" s="59" t="s">
        <v>147</v>
      </c>
      <c r="R70" s="59" t="s">
        <v>32</v>
      </c>
      <c r="S70" s="59" t="s">
        <v>32</v>
      </c>
    </row>
    <row r="71" spans="1:19" s="64" customFormat="1" x14ac:dyDescent="0.25">
      <c r="A71" s="67" t="s">
        <v>9</v>
      </c>
      <c r="B71" s="67" t="s">
        <v>24</v>
      </c>
      <c r="C71" s="61" t="s">
        <v>52</v>
      </c>
      <c r="D71" s="60"/>
      <c r="E71" s="66" t="s">
        <v>507</v>
      </c>
      <c r="F71" s="66" t="s">
        <v>507</v>
      </c>
      <c r="G71" s="60"/>
      <c r="H71" s="60"/>
      <c r="I71" s="60"/>
      <c r="J71" s="60"/>
      <c r="K71" s="60"/>
      <c r="L71" s="60"/>
      <c r="M71" s="60" t="s">
        <v>883</v>
      </c>
      <c r="N71" s="60" t="s">
        <v>1016</v>
      </c>
      <c r="O71" s="60"/>
      <c r="P71" s="60"/>
      <c r="Q71" s="60"/>
      <c r="R71" s="60" t="s">
        <v>435</v>
      </c>
      <c r="S71" s="60" t="s">
        <v>1017</v>
      </c>
    </row>
    <row r="72" spans="1:19" s="64" customFormat="1" x14ac:dyDescent="0.25">
      <c r="A72" s="67" t="s">
        <v>9</v>
      </c>
      <c r="B72" s="67" t="s">
        <v>24</v>
      </c>
      <c r="C72" s="65" t="s">
        <v>532</v>
      </c>
      <c r="D72" s="60"/>
      <c r="E72" s="69" t="s">
        <v>508</v>
      </c>
      <c r="F72" s="69" t="s">
        <v>508</v>
      </c>
      <c r="G72" s="60"/>
      <c r="H72" s="60"/>
      <c r="I72" s="60"/>
      <c r="J72" s="60"/>
      <c r="K72" s="60"/>
      <c r="L72" s="60"/>
      <c r="M72" s="60" t="s">
        <v>653</v>
      </c>
      <c r="N72" s="60" t="s">
        <v>653</v>
      </c>
      <c r="O72" s="60" t="s">
        <v>653</v>
      </c>
      <c r="P72" s="60" t="s">
        <v>653</v>
      </c>
      <c r="Q72" s="60" t="s">
        <v>653</v>
      </c>
      <c r="R72" s="60" t="s">
        <v>653</v>
      </c>
      <c r="S72" s="60" t="s">
        <v>653</v>
      </c>
    </row>
    <row r="73" spans="1:19" s="64" customFormat="1" x14ac:dyDescent="0.25">
      <c r="A73" s="67" t="s">
        <v>9</v>
      </c>
      <c r="B73" s="67" t="s">
        <v>24</v>
      </c>
      <c r="C73" s="65" t="s">
        <v>533</v>
      </c>
      <c r="D73" s="60"/>
      <c r="E73" s="69" t="s">
        <v>509</v>
      </c>
      <c r="F73" s="69" t="s">
        <v>509</v>
      </c>
      <c r="G73" s="60"/>
      <c r="H73" s="60"/>
      <c r="I73" s="60"/>
      <c r="J73" s="60"/>
      <c r="K73" s="60"/>
      <c r="L73" s="60"/>
      <c r="M73" s="60" t="s">
        <v>654</v>
      </c>
      <c r="N73" s="60" t="s">
        <v>654</v>
      </c>
      <c r="O73" s="60" t="s">
        <v>654</v>
      </c>
      <c r="P73" s="60" t="s">
        <v>654</v>
      </c>
      <c r="Q73" s="60" t="s">
        <v>654</v>
      </c>
      <c r="R73" s="60" t="s">
        <v>654</v>
      </c>
      <c r="S73" s="60" t="s">
        <v>654</v>
      </c>
    </row>
    <row r="74" spans="1:19" s="64" customFormat="1" x14ac:dyDescent="0.25">
      <c r="A74" s="67" t="s">
        <v>9</v>
      </c>
      <c r="B74" s="67" t="s">
        <v>24</v>
      </c>
      <c r="C74" s="65" t="s">
        <v>534</v>
      </c>
      <c r="D74" s="60"/>
      <c r="E74" s="69" t="s">
        <v>510</v>
      </c>
      <c r="F74" s="69" t="s">
        <v>510</v>
      </c>
      <c r="G74" s="60"/>
      <c r="H74" s="60"/>
      <c r="I74" s="60"/>
      <c r="J74" s="60"/>
      <c r="K74" s="60"/>
      <c r="L74" s="60"/>
      <c r="M74" s="60" t="s">
        <v>655</v>
      </c>
      <c r="N74" s="60" t="s">
        <v>757</v>
      </c>
      <c r="O74" s="60" t="s">
        <v>758</v>
      </c>
      <c r="P74" s="60" t="s">
        <v>759</v>
      </c>
      <c r="Q74" s="60" t="s">
        <v>760</v>
      </c>
      <c r="R74" s="60" t="s">
        <v>761</v>
      </c>
      <c r="S74" s="60" t="s">
        <v>761</v>
      </c>
    </row>
    <row r="75" spans="1:19" s="64" customFormat="1" x14ac:dyDescent="0.25">
      <c r="A75" s="67" t="s">
        <v>9</v>
      </c>
      <c r="B75" s="67" t="s">
        <v>24</v>
      </c>
      <c r="C75" s="65" t="s">
        <v>535</v>
      </c>
      <c r="D75" s="60"/>
      <c r="E75" s="69" t="s">
        <v>511</v>
      </c>
      <c r="F75" s="69" t="s">
        <v>511</v>
      </c>
      <c r="G75" s="60"/>
      <c r="H75" s="60"/>
      <c r="I75" s="60"/>
      <c r="J75" s="60"/>
      <c r="K75" s="60"/>
      <c r="L75" s="60"/>
      <c r="M75" s="60" t="s">
        <v>656</v>
      </c>
      <c r="N75" s="60" t="s">
        <v>762</v>
      </c>
      <c r="O75" s="60" t="s">
        <v>763</v>
      </c>
      <c r="P75" s="60" t="s">
        <v>764</v>
      </c>
      <c r="Q75" s="60" t="s">
        <v>765</v>
      </c>
      <c r="R75" s="60" t="s">
        <v>766</v>
      </c>
      <c r="S75" s="60" t="s">
        <v>766</v>
      </c>
    </row>
    <row r="76" spans="1:19" s="64" customFormat="1" x14ac:dyDescent="0.25">
      <c r="A76" s="67" t="s">
        <v>9</v>
      </c>
      <c r="B76" s="67" t="s">
        <v>24</v>
      </c>
      <c r="C76" s="65" t="s">
        <v>536</v>
      </c>
      <c r="D76" s="60"/>
      <c r="E76" s="69" t="s">
        <v>512</v>
      </c>
      <c r="F76" s="69" t="s">
        <v>512</v>
      </c>
      <c r="G76" s="60"/>
      <c r="H76" s="60"/>
      <c r="I76" s="60"/>
      <c r="J76" s="60"/>
      <c r="K76" s="60"/>
      <c r="L76" s="60"/>
      <c r="M76" s="60" t="s">
        <v>657</v>
      </c>
      <c r="N76" s="60" t="s">
        <v>658</v>
      </c>
      <c r="O76" s="60" t="s">
        <v>659</v>
      </c>
      <c r="P76" s="60" t="s">
        <v>660</v>
      </c>
      <c r="Q76" s="60" t="s">
        <v>639</v>
      </c>
      <c r="R76" s="60" t="s">
        <v>640</v>
      </c>
      <c r="S76" s="60" t="s">
        <v>640</v>
      </c>
    </row>
    <row r="77" spans="1:19" s="64" customFormat="1" x14ac:dyDescent="0.25">
      <c r="A77" s="67" t="s">
        <v>9</v>
      </c>
      <c r="B77" s="67" t="s">
        <v>24</v>
      </c>
      <c r="C77" s="65" t="s">
        <v>537</v>
      </c>
      <c r="D77" s="60"/>
      <c r="E77" s="69" t="s">
        <v>513</v>
      </c>
      <c r="F77" s="69" t="s">
        <v>513</v>
      </c>
      <c r="G77" s="60"/>
      <c r="H77" s="60"/>
      <c r="I77" s="60"/>
      <c r="J77" s="60"/>
      <c r="K77" s="60"/>
      <c r="L77" s="60"/>
      <c r="M77" s="59" t="s">
        <v>661</v>
      </c>
      <c r="N77" s="59" t="s">
        <v>850</v>
      </c>
      <c r="O77" s="59" t="s">
        <v>858</v>
      </c>
      <c r="P77" s="59" t="s">
        <v>855</v>
      </c>
      <c r="Q77" s="59" t="s">
        <v>856</v>
      </c>
      <c r="R77" s="59" t="s">
        <v>857</v>
      </c>
      <c r="S77" s="59" t="s">
        <v>853</v>
      </c>
    </row>
    <row r="78" spans="1:19" s="64" customFormat="1" x14ac:dyDescent="0.25">
      <c r="A78" s="67" t="s">
        <v>9</v>
      </c>
      <c r="B78" s="67" t="s">
        <v>24</v>
      </c>
      <c r="C78" s="65" t="s">
        <v>538</v>
      </c>
      <c r="D78" s="60"/>
      <c r="E78" s="69" t="s">
        <v>514</v>
      </c>
      <c r="F78" s="69" t="s">
        <v>514</v>
      </c>
      <c r="G78" s="60"/>
      <c r="H78" s="60"/>
      <c r="I78" s="60"/>
      <c r="J78" s="60"/>
      <c r="K78" s="60"/>
      <c r="L78" s="60"/>
      <c r="M78" s="60" t="s">
        <v>669</v>
      </c>
      <c r="N78" s="60" t="s">
        <v>752</v>
      </c>
      <c r="O78" s="60" t="s">
        <v>753</v>
      </c>
      <c r="P78" s="60" t="s">
        <v>754</v>
      </c>
      <c r="Q78" s="60" t="s">
        <v>755</v>
      </c>
      <c r="R78" s="60" t="s">
        <v>756</v>
      </c>
      <c r="S78" s="60" t="s">
        <v>892</v>
      </c>
    </row>
    <row r="79" spans="1:19" s="64" customFormat="1" x14ac:dyDescent="0.25">
      <c r="A79" s="67" t="s">
        <v>9</v>
      </c>
      <c r="B79" s="67" t="s">
        <v>24</v>
      </c>
      <c r="C79" s="65" t="s">
        <v>539</v>
      </c>
      <c r="D79" s="60"/>
      <c r="E79" s="69" t="s">
        <v>515</v>
      </c>
      <c r="F79" s="69" t="s">
        <v>515</v>
      </c>
      <c r="G79" s="60"/>
      <c r="H79" s="60"/>
      <c r="I79" s="60"/>
      <c r="J79" s="60"/>
      <c r="K79" s="60"/>
      <c r="L79" s="60"/>
      <c r="M79" s="60" t="s">
        <v>663</v>
      </c>
      <c r="N79" s="60" t="s">
        <v>750</v>
      </c>
      <c r="O79" s="60" t="s">
        <v>751</v>
      </c>
      <c r="P79" s="60" t="s">
        <v>663</v>
      </c>
      <c r="Q79" s="60" t="s">
        <v>750</v>
      </c>
      <c r="R79" s="60" t="s">
        <v>751</v>
      </c>
      <c r="S79" s="60" t="s">
        <v>751</v>
      </c>
    </row>
    <row r="80" spans="1:19" s="64" customFormat="1" x14ac:dyDescent="0.25">
      <c r="A80" s="67" t="s">
        <v>9</v>
      </c>
      <c r="B80" s="67" t="s">
        <v>24</v>
      </c>
      <c r="C80" s="65" t="s">
        <v>540</v>
      </c>
      <c r="D80" s="60"/>
      <c r="E80" s="69" t="s">
        <v>516</v>
      </c>
      <c r="F80" s="69" t="s">
        <v>516</v>
      </c>
      <c r="G80" s="60"/>
      <c r="H80" s="60"/>
      <c r="I80" s="60"/>
      <c r="J80" s="60"/>
      <c r="K80" s="60"/>
      <c r="L80" s="60"/>
      <c r="M80" s="60" t="s">
        <v>664</v>
      </c>
      <c r="N80" s="60" t="s">
        <v>745</v>
      </c>
      <c r="O80" s="60" t="s">
        <v>746</v>
      </c>
      <c r="P80" s="60" t="s">
        <v>747</v>
      </c>
      <c r="Q80" s="60" t="s">
        <v>748</v>
      </c>
      <c r="R80" s="60" t="s">
        <v>749</v>
      </c>
      <c r="S80" s="60" t="s">
        <v>749</v>
      </c>
    </row>
    <row r="81" spans="1:19" s="64" customFormat="1" x14ac:dyDescent="0.25">
      <c r="A81" s="67" t="s">
        <v>9</v>
      </c>
      <c r="B81" s="67" t="s">
        <v>24</v>
      </c>
      <c r="C81" s="65" t="s">
        <v>541</v>
      </c>
      <c r="D81" s="60"/>
      <c r="E81" s="69" t="s">
        <v>517</v>
      </c>
      <c r="F81" s="69" t="s">
        <v>517</v>
      </c>
      <c r="G81" s="60"/>
      <c r="H81" s="60"/>
      <c r="I81" s="60"/>
      <c r="J81" s="60"/>
      <c r="K81" s="60"/>
      <c r="L81" s="60"/>
      <c r="M81" s="60" t="s">
        <v>665</v>
      </c>
      <c r="N81" s="60" t="s">
        <v>730</v>
      </c>
      <c r="O81" s="60" t="s">
        <v>731</v>
      </c>
      <c r="P81" s="60" t="s">
        <v>732</v>
      </c>
      <c r="Q81" s="60" t="s">
        <v>733</v>
      </c>
      <c r="R81" s="60" t="s">
        <v>734</v>
      </c>
      <c r="S81" s="60" t="s">
        <v>734</v>
      </c>
    </row>
    <row r="82" spans="1:19" s="64" customFormat="1" x14ac:dyDescent="0.25">
      <c r="A82" s="67" t="s">
        <v>9</v>
      </c>
      <c r="B82" s="67" t="s">
        <v>24</v>
      </c>
      <c r="C82" s="65" t="s">
        <v>542</v>
      </c>
      <c r="D82" s="60"/>
      <c r="E82" s="69" t="s">
        <v>518</v>
      </c>
      <c r="F82" s="69" t="s">
        <v>518</v>
      </c>
      <c r="G82" s="60"/>
      <c r="H82" s="60"/>
      <c r="I82" s="60"/>
      <c r="J82" s="60"/>
      <c r="K82" s="60"/>
      <c r="L82" s="60"/>
      <c r="M82" s="60" t="s">
        <v>666</v>
      </c>
      <c r="N82" s="60" t="s">
        <v>735</v>
      </c>
      <c r="O82" s="60" t="s">
        <v>736</v>
      </c>
      <c r="P82" s="60" t="s">
        <v>737</v>
      </c>
      <c r="Q82" s="60" t="s">
        <v>738</v>
      </c>
      <c r="R82" s="60" t="s">
        <v>739</v>
      </c>
      <c r="S82" s="60" t="s">
        <v>739</v>
      </c>
    </row>
    <row r="83" spans="1:19" s="64" customFormat="1" x14ac:dyDescent="0.25">
      <c r="A83" s="67" t="s">
        <v>9</v>
      </c>
      <c r="B83" s="67" t="s">
        <v>24</v>
      </c>
      <c r="C83" s="65" t="s">
        <v>543</v>
      </c>
      <c r="D83" s="60"/>
      <c r="E83" s="69" t="s">
        <v>519</v>
      </c>
      <c r="F83" s="69" t="s">
        <v>519</v>
      </c>
      <c r="G83" s="60"/>
      <c r="H83" s="60"/>
      <c r="I83" s="60"/>
      <c r="J83" s="60"/>
      <c r="K83" s="60"/>
      <c r="L83" s="60"/>
      <c r="M83" s="60" t="s">
        <v>667</v>
      </c>
      <c r="N83" s="60" t="s">
        <v>740</v>
      </c>
      <c r="O83" s="60" t="s">
        <v>741</v>
      </c>
      <c r="P83" s="60" t="s">
        <v>742</v>
      </c>
      <c r="Q83" s="60" t="s">
        <v>743</v>
      </c>
      <c r="R83" s="60" t="s">
        <v>744</v>
      </c>
      <c r="S83" s="60" t="s">
        <v>744</v>
      </c>
    </row>
    <row r="84" spans="1:19" s="64" customFormat="1" x14ac:dyDescent="0.25">
      <c r="A84" s="67" t="s">
        <v>9</v>
      </c>
      <c r="B84" s="67" t="s">
        <v>24</v>
      </c>
      <c r="C84" s="65" t="s">
        <v>544</v>
      </c>
      <c r="D84" s="60"/>
      <c r="E84" s="69" t="s">
        <v>520</v>
      </c>
      <c r="F84" s="69" t="s">
        <v>520</v>
      </c>
      <c r="G84" s="60"/>
      <c r="H84" s="60"/>
      <c r="I84" s="60"/>
      <c r="J84" s="60"/>
      <c r="K84" s="60"/>
      <c r="L84" s="60"/>
      <c r="M84" s="60" t="s">
        <v>657</v>
      </c>
      <c r="N84" s="60" t="s">
        <v>658</v>
      </c>
      <c r="O84" s="60" t="s">
        <v>659</v>
      </c>
      <c r="P84" s="60" t="s">
        <v>660</v>
      </c>
      <c r="Q84" s="60" t="s">
        <v>639</v>
      </c>
      <c r="R84" s="60" t="s">
        <v>640</v>
      </c>
      <c r="S84" s="60" t="s">
        <v>640</v>
      </c>
    </row>
    <row r="85" spans="1:19" s="64" customFormat="1" x14ac:dyDescent="0.25">
      <c r="A85" s="67" t="s">
        <v>9</v>
      </c>
      <c r="B85" s="67" t="s">
        <v>24</v>
      </c>
      <c r="C85" s="65" t="s">
        <v>545</v>
      </c>
      <c r="D85" s="60"/>
      <c r="E85" s="69" t="s">
        <v>560</v>
      </c>
      <c r="F85" s="69" t="s">
        <v>560</v>
      </c>
      <c r="G85" s="60"/>
      <c r="H85" s="60"/>
      <c r="I85" s="60"/>
      <c r="J85" s="60"/>
      <c r="K85" s="60"/>
      <c r="L85" s="60"/>
      <c r="M85" s="59" t="s">
        <v>853</v>
      </c>
      <c r="N85" s="59" t="s">
        <v>859</v>
      </c>
      <c r="O85" s="59" t="s">
        <v>860</v>
      </c>
      <c r="P85" s="59" t="s">
        <v>861</v>
      </c>
      <c r="Q85" s="59" t="s">
        <v>853</v>
      </c>
      <c r="R85" s="59" t="s">
        <v>862</v>
      </c>
      <c r="S85" s="59" t="s">
        <v>856</v>
      </c>
    </row>
    <row r="86" spans="1:19" s="64" customFormat="1" x14ac:dyDescent="0.25">
      <c r="A86" s="67" t="s">
        <v>9</v>
      </c>
      <c r="B86" s="67" t="s">
        <v>24</v>
      </c>
      <c r="C86" s="65" t="s">
        <v>546</v>
      </c>
      <c r="D86" s="60"/>
      <c r="E86" s="69" t="s">
        <v>561</v>
      </c>
      <c r="F86" s="69" t="s">
        <v>561</v>
      </c>
      <c r="G86" s="60"/>
      <c r="H86" s="60"/>
      <c r="I86" s="60"/>
      <c r="J86" s="60"/>
      <c r="K86" s="60"/>
      <c r="L86" s="60"/>
      <c r="M86" s="60" t="s">
        <v>668</v>
      </c>
      <c r="N86" s="60" t="s">
        <v>725</v>
      </c>
      <c r="O86" s="60" t="s">
        <v>726</v>
      </c>
      <c r="P86" s="60" t="s">
        <v>727</v>
      </c>
      <c r="Q86" s="60" t="s">
        <v>728</v>
      </c>
      <c r="R86" s="60" t="s">
        <v>729</v>
      </c>
      <c r="S86" s="60" t="s">
        <v>729</v>
      </c>
    </row>
    <row r="87" spans="1:19" s="64" customFormat="1" x14ac:dyDescent="0.25">
      <c r="A87" s="67" t="s">
        <v>9</v>
      </c>
      <c r="B87" s="67" t="s">
        <v>24</v>
      </c>
      <c r="C87" s="65" t="s">
        <v>547</v>
      </c>
      <c r="D87" s="60"/>
      <c r="E87" s="69" t="s">
        <v>562</v>
      </c>
      <c r="F87" s="69" t="s">
        <v>562</v>
      </c>
      <c r="G87" s="60"/>
      <c r="H87" s="60"/>
      <c r="I87" s="60"/>
      <c r="J87" s="60"/>
      <c r="K87" s="60"/>
      <c r="L87" s="60"/>
      <c r="M87" s="60" t="s">
        <v>670</v>
      </c>
      <c r="N87" s="60" t="s">
        <v>724</v>
      </c>
      <c r="O87" s="60" t="s">
        <v>670</v>
      </c>
      <c r="P87" s="60" t="s">
        <v>724</v>
      </c>
      <c r="Q87" s="60" t="s">
        <v>670</v>
      </c>
      <c r="R87" s="60" t="s">
        <v>724</v>
      </c>
      <c r="S87" s="60" t="s">
        <v>724</v>
      </c>
    </row>
    <row r="88" spans="1:19" s="64" customFormat="1" ht="30" x14ac:dyDescent="0.25">
      <c r="A88" s="67" t="s">
        <v>9</v>
      </c>
      <c r="B88" s="67" t="s">
        <v>24</v>
      </c>
      <c r="C88" s="2" t="s">
        <v>548</v>
      </c>
      <c r="D88" s="60"/>
      <c r="E88" s="69" t="s">
        <v>563</v>
      </c>
      <c r="F88" s="69" t="s">
        <v>563</v>
      </c>
      <c r="G88" s="60"/>
      <c r="H88" s="60"/>
      <c r="I88" s="60"/>
      <c r="J88" s="60"/>
      <c r="K88" s="60"/>
      <c r="L88" s="60"/>
      <c r="M88" s="60" t="s">
        <v>671</v>
      </c>
      <c r="N88" s="60" t="s">
        <v>714</v>
      </c>
      <c r="O88" s="60" t="s">
        <v>715</v>
      </c>
      <c r="P88" s="60" t="s">
        <v>716</v>
      </c>
      <c r="Q88" s="60" t="s">
        <v>717</v>
      </c>
      <c r="R88" s="60" t="s">
        <v>718</v>
      </c>
      <c r="S88" s="60" t="s">
        <v>718</v>
      </c>
    </row>
    <row r="89" spans="1:19" s="64" customFormat="1" ht="30" x14ac:dyDescent="0.25">
      <c r="A89" s="67" t="s">
        <v>9</v>
      </c>
      <c r="B89" s="67" t="s">
        <v>24</v>
      </c>
      <c r="C89" s="2" t="s">
        <v>549</v>
      </c>
      <c r="D89" s="60"/>
      <c r="E89" s="69" t="s">
        <v>564</v>
      </c>
      <c r="F89" s="69" t="s">
        <v>564</v>
      </c>
      <c r="G89" s="60"/>
      <c r="H89" s="60"/>
      <c r="I89" s="60"/>
      <c r="J89" s="60"/>
      <c r="K89" s="60"/>
      <c r="L89" s="60"/>
      <c r="M89" s="60" t="s">
        <v>672</v>
      </c>
      <c r="N89" s="60" t="s">
        <v>672</v>
      </c>
      <c r="O89" s="60" t="s">
        <v>672</v>
      </c>
      <c r="P89" s="60" t="s">
        <v>672</v>
      </c>
      <c r="Q89" s="60" t="s">
        <v>672</v>
      </c>
      <c r="R89" s="60" t="s">
        <v>672</v>
      </c>
      <c r="S89" s="60" t="s">
        <v>672</v>
      </c>
    </row>
    <row r="90" spans="1:19" s="64" customFormat="1" ht="30" x14ac:dyDescent="0.25">
      <c r="A90" s="67" t="s">
        <v>9</v>
      </c>
      <c r="B90" s="67" t="s">
        <v>24</v>
      </c>
      <c r="C90" s="2" t="s">
        <v>550</v>
      </c>
      <c r="D90" s="60"/>
      <c r="E90" s="69" t="s">
        <v>565</v>
      </c>
      <c r="F90" s="69" t="s">
        <v>565</v>
      </c>
      <c r="G90" s="60"/>
      <c r="H90" s="60"/>
      <c r="I90" s="60"/>
      <c r="J90" s="60"/>
      <c r="K90" s="60"/>
      <c r="L90" s="60"/>
      <c r="M90" s="60" t="s">
        <v>673</v>
      </c>
      <c r="N90" s="60" t="s">
        <v>673</v>
      </c>
      <c r="O90" s="60" t="s">
        <v>673</v>
      </c>
      <c r="P90" s="60" t="s">
        <v>673</v>
      </c>
      <c r="Q90" s="60" t="s">
        <v>673</v>
      </c>
      <c r="R90" s="60" t="s">
        <v>673</v>
      </c>
      <c r="S90" s="60" t="s">
        <v>673</v>
      </c>
    </row>
    <row r="91" spans="1:19" s="64" customFormat="1" ht="30" x14ac:dyDescent="0.25">
      <c r="A91" s="67" t="s">
        <v>9</v>
      </c>
      <c r="B91" s="67" t="s">
        <v>24</v>
      </c>
      <c r="C91" s="2" t="s">
        <v>551</v>
      </c>
      <c r="D91" s="60"/>
      <c r="E91" s="69" t="s">
        <v>566</v>
      </c>
      <c r="F91" s="69" t="s">
        <v>566</v>
      </c>
      <c r="G91" s="60"/>
      <c r="H91" s="60"/>
      <c r="I91" s="60"/>
      <c r="J91" s="60"/>
      <c r="K91" s="60"/>
      <c r="L91" s="60"/>
      <c r="M91" s="60" t="s">
        <v>674</v>
      </c>
      <c r="N91" s="60" t="s">
        <v>719</v>
      </c>
      <c r="O91" s="60" t="s">
        <v>720</v>
      </c>
      <c r="P91" s="60" t="s">
        <v>721</v>
      </c>
      <c r="Q91" s="60" t="s">
        <v>722</v>
      </c>
      <c r="R91" s="60" t="s">
        <v>723</v>
      </c>
      <c r="S91" s="60" t="s">
        <v>723</v>
      </c>
    </row>
    <row r="92" spans="1:19" s="64" customFormat="1" ht="30" x14ac:dyDescent="0.25">
      <c r="A92" s="67" t="s">
        <v>9</v>
      </c>
      <c r="B92" s="67" t="s">
        <v>24</v>
      </c>
      <c r="C92" s="2" t="s">
        <v>552</v>
      </c>
      <c r="D92" s="60"/>
      <c r="E92" s="69" t="s">
        <v>567</v>
      </c>
      <c r="F92" s="69" t="s">
        <v>567</v>
      </c>
      <c r="G92" s="60"/>
      <c r="H92" s="60"/>
      <c r="I92" s="60"/>
      <c r="J92" s="60"/>
      <c r="K92" s="60"/>
      <c r="L92" s="60"/>
      <c r="M92" s="60" t="s">
        <v>658</v>
      </c>
      <c r="N92" s="60" t="s">
        <v>659</v>
      </c>
      <c r="O92" s="60" t="s">
        <v>660</v>
      </c>
      <c r="P92" s="60" t="s">
        <v>639</v>
      </c>
      <c r="Q92" s="60" t="s">
        <v>640</v>
      </c>
      <c r="R92" s="60" t="s">
        <v>657</v>
      </c>
      <c r="S92" s="60" t="s">
        <v>893</v>
      </c>
    </row>
    <row r="93" spans="1:19" s="64" customFormat="1" ht="30" x14ac:dyDescent="0.25">
      <c r="A93" s="67" t="s">
        <v>9</v>
      </c>
      <c r="B93" s="67" t="s">
        <v>24</v>
      </c>
      <c r="C93" s="2" t="s">
        <v>553</v>
      </c>
      <c r="D93" s="60"/>
      <c r="E93" s="69" t="s">
        <v>568</v>
      </c>
      <c r="F93" s="69" t="s">
        <v>568</v>
      </c>
      <c r="G93" s="60"/>
      <c r="H93" s="60"/>
      <c r="I93" s="60"/>
      <c r="J93" s="60"/>
      <c r="K93" s="60"/>
      <c r="L93" s="60"/>
      <c r="M93" s="59" t="s">
        <v>863</v>
      </c>
      <c r="N93" s="59" t="s">
        <v>864</v>
      </c>
      <c r="O93" s="59" t="s">
        <v>487</v>
      </c>
      <c r="P93" s="59" t="s">
        <v>662</v>
      </c>
      <c r="Q93" s="59" t="s">
        <v>865</v>
      </c>
      <c r="R93" s="59" t="s">
        <v>866</v>
      </c>
      <c r="S93" s="59" t="s">
        <v>894</v>
      </c>
    </row>
    <row r="94" spans="1:19" s="64" customFormat="1" ht="30" x14ac:dyDescent="0.25">
      <c r="A94" s="67" t="s">
        <v>9</v>
      </c>
      <c r="B94" s="67" t="s">
        <v>24</v>
      </c>
      <c r="C94" s="2" t="s">
        <v>554</v>
      </c>
      <c r="D94" s="60"/>
      <c r="E94" s="69" t="s">
        <v>569</v>
      </c>
      <c r="F94" s="69" t="s">
        <v>569</v>
      </c>
      <c r="G94" s="60"/>
      <c r="H94" s="60"/>
      <c r="I94" s="60"/>
      <c r="J94" s="60"/>
      <c r="K94" s="60"/>
      <c r="L94" s="60"/>
      <c r="M94" s="60" t="s">
        <v>675</v>
      </c>
      <c r="N94" s="60" t="s">
        <v>704</v>
      </c>
      <c r="O94" s="60" t="s">
        <v>705</v>
      </c>
      <c r="P94" s="60" t="s">
        <v>706</v>
      </c>
      <c r="Q94" s="60" t="s">
        <v>707</v>
      </c>
      <c r="R94" s="60" t="s">
        <v>708</v>
      </c>
      <c r="S94" s="60" t="s">
        <v>708</v>
      </c>
    </row>
    <row r="95" spans="1:19" s="64" customFormat="1" ht="30" x14ac:dyDescent="0.25">
      <c r="A95" s="67" t="s">
        <v>9</v>
      </c>
      <c r="B95" s="67" t="s">
        <v>24</v>
      </c>
      <c r="C95" s="2" t="s">
        <v>555</v>
      </c>
      <c r="D95" s="60"/>
      <c r="E95" s="69" t="s">
        <v>570</v>
      </c>
      <c r="F95" s="69" t="s">
        <v>570</v>
      </c>
      <c r="G95" s="60"/>
      <c r="H95" s="60"/>
      <c r="I95" s="60"/>
      <c r="J95" s="60"/>
      <c r="K95" s="60"/>
      <c r="L95" s="60"/>
      <c r="M95" s="60" t="s">
        <v>676</v>
      </c>
      <c r="N95" s="60" t="s">
        <v>709</v>
      </c>
      <c r="O95" s="60" t="s">
        <v>710</v>
      </c>
      <c r="P95" s="60" t="s">
        <v>711</v>
      </c>
      <c r="Q95" s="60" t="s">
        <v>712</v>
      </c>
      <c r="R95" s="60" t="s">
        <v>713</v>
      </c>
      <c r="S95" s="60" t="s">
        <v>713</v>
      </c>
    </row>
    <row r="96" spans="1:19" s="64" customFormat="1" x14ac:dyDescent="0.25">
      <c r="A96" s="67" t="s">
        <v>9</v>
      </c>
      <c r="B96" s="67" t="s">
        <v>24</v>
      </c>
      <c r="C96" s="65" t="s">
        <v>82</v>
      </c>
      <c r="D96" s="60"/>
      <c r="E96" s="60"/>
      <c r="F96" s="60"/>
      <c r="G96" s="69" t="s">
        <v>504</v>
      </c>
      <c r="H96" s="69" t="s">
        <v>504</v>
      </c>
      <c r="I96" s="69" t="s">
        <v>504</v>
      </c>
      <c r="J96" s="69" t="s">
        <v>504</v>
      </c>
      <c r="K96" s="69" t="s">
        <v>504</v>
      </c>
      <c r="L96" s="69" t="s">
        <v>504</v>
      </c>
      <c r="M96" s="60"/>
      <c r="N96" s="60"/>
      <c r="O96" s="60"/>
      <c r="P96" s="60"/>
      <c r="Q96" s="60"/>
      <c r="R96" s="60"/>
      <c r="S96" s="60"/>
    </row>
    <row r="97" spans="1:19" s="64" customFormat="1" x14ac:dyDescent="0.25">
      <c r="A97" s="67" t="s">
        <v>9</v>
      </c>
      <c r="B97" s="67" t="s">
        <v>24</v>
      </c>
      <c r="C97" s="2" t="s">
        <v>556</v>
      </c>
      <c r="D97" s="60"/>
      <c r="E97" s="68" t="s">
        <v>571</v>
      </c>
      <c r="F97" s="68" t="s">
        <v>571</v>
      </c>
      <c r="G97" s="60"/>
      <c r="H97" s="60"/>
      <c r="I97" s="60"/>
      <c r="J97" s="60"/>
      <c r="K97" s="60"/>
      <c r="L97" s="60"/>
      <c r="M97" s="60" t="s">
        <v>677</v>
      </c>
      <c r="N97" s="60" t="s">
        <v>390</v>
      </c>
      <c r="O97" s="60" t="s">
        <v>700</v>
      </c>
      <c r="P97" s="60" t="s">
        <v>701</v>
      </c>
      <c r="Q97" s="60" t="s">
        <v>702</v>
      </c>
      <c r="R97" s="60" t="s">
        <v>703</v>
      </c>
      <c r="S97" s="60" t="s">
        <v>895</v>
      </c>
    </row>
    <row r="98" spans="1:19" s="64" customFormat="1" x14ac:dyDescent="0.25">
      <c r="A98" s="67" t="s">
        <v>9</v>
      </c>
      <c r="B98" s="67" t="s">
        <v>24</v>
      </c>
      <c r="C98" s="2" t="s">
        <v>65</v>
      </c>
      <c r="D98" s="60"/>
      <c r="E98" s="60"/>
      <c r="F98" s="60"/>
      <c r="G98" s="69" t="s">
        <v>505</v>
      </c>
      <c r="H98" s="69" t="s">
        <v>505</v>
      </c>
      <c r="I98" s="69" t="s">
        <v>505</v>
      </c>
      <c r="J98" s="69" t="s">
        <v>505</v>
      </c>
      <c r="K98" s="69" t="s">
        <v>505</v>
      </c>
      <c r="L98" s="69" t="s">
        <v>505</v>
      </c>
      <c r="M98" s="60"/>
      <c r="N98" s="60"/>
      <c r="O98" s="60"/>
      <c r="P98" s="60"/>
      <c r="Q98" s="60"/>
      <c r="R98" s="60"/>
      <c r="S98" s="60"/>
    </row>
    <row r="99" spans="1:19" s="64" customFormat="1" x14ac:dyDescent="0.25">
      <c r="A99" s="67" t="s">
        <v>9</v>
      </c>
      <c r="B99" s="67" t="s">
        <v>24</v>
      </c>
      <c r="C99" s="2" t="s">
        <v>597</v>
      </c>
      <c r="D99" s="60"/>
      <c r="E99" s="60"/>
      <c r="F99" s="60"/>
      <c r="G99" s="69" t="s">
        <v>506</v>
      </c>
      <c r="H99" s="69" t="s">
        <v>506</v>
      </c>
      <c r="I99" s="69" t="s">
        <v>506</v>
      </c>
      <c r="J99" s="69" t="s">
        <v>506</v>
      </c>
      <c r="K99" s="69" t="s">
        <v>506</v>
      </c>
      <c r="L99" s="69" t="s">
        <v>506</v>
      </c>
      <c r="M99" s="60"/>
      <c r="N99" s="60"/>
      <c r="O99" s="60"/>
      <c r="P99" s="60"/>
      <c r="Q99" s="60"/>
      <c r="R99" s="60"/>
      <c r="S99" s="60"/>
    </row>
    <row r="100" spans="1:19" s="64" customFormat="1" x14ac:dyDescent="0.25">
      <c r="A100" s="67" t="s">
        <v>9</v>
      </c>
      <c r="B100" s="67" t="s">
        <v>24</v>
      </c>
      <c r="C100" s="2" t="s">
        <v>80</v>
      </c>
      <c r="D100" s="60"/>
      <c r="E100" s="60"/>
      <c r="F100" s="60"/>
      <c r="G100" s="69" t="s">
        <v>507</v>
      </c>
      <c r="H100" s="69" t="s">
        <v>507</v>
      </c>
      <c r="I100" s="69" t="s">
        <v>507</v>
      </c>
      <c r="J100" s="69" t="s">
        <v>507</v>
      </c>
      <c r="K100" s="69" t="s">
        <v>507</v>
      </c>
      <c r="L100" s="69" t="s">
        <v>507</v>
      </c>
      <c r="M100" s="60"/>
      <c r="N100" s="60"/>
      <c r="O100" s="60"/>
      <c r="P100" s="60"/>
      <c r="Q100" s="60"/>
      <c r="R100" s="60"/>
      <c r="S100" s="60"/>
    </row>
    <row r="101" spans="1:19" s="64" customFormat="1" x14ac:dyDescent="0.25">
      <c r="A101" s="67" t="s">
        <v>9</v>
      </c>
      <c r="B101" s="67" t="s">
        <v>24</v>
      </c>
      <c r="C101" s="2" t="s">
        <v>598</v>
      </c>
      <c r="D101" s="60"/>
      <c r="E101" s="60"/>
      <c r="F101" s="60"/>
      <c r="G101" s="69" t="s">
        <v>508</v>
      </c>
      <c r="H101" s="69" t="s">
        <v>508</v>
      </c>
      <c r="I101" s="69" t="s">
        <v>508</v>
      </c>
      <c r="J101" s="69" t="s">
        <v>508</v>
      </c>
      <c r="K101" s="69" t="s">
        <v>508</v>
      </c>
      <c r="L101" s="69" t="s">
        <v>508</v>
      </c>
      <c r="M101" s="60"/>
      <c r="N101" s="60"/>
      <c r="O101" s="60"/>
      <c r="P101" s="60"/>
      <c r="Q101" s="60"/>
      <c r="R101" s="60"/>
      <c r="S101" s="60"/>
    </row>
    <row r="102" spans="1:19" s="64" customFormat="1" x14ac:dyDescent="0.25">
      <c r="A102" s="67" t="s">
        <v>9</v>
      </c>
      <c r="B102" s="67" t="s">
        <v>24</v>
      </c>
      <c r="C102" s="2" t="s">
        <v>599</v>
      </c>
      <c r="D102" s="60"/>
      <c r="E102" s="60"/>
      <c r="F102" s="60"/>
      <c r="G102" s="69" t="s">
        <v>509</v>
      </c>
      <c r="H102" s="69" t="s">
        <v>509</v>
      </c>
      <c r="I102" s="69" t="s">
        <v>509</v>
      </c>
      <c r="J102" s="69" t="s">
        <v>509</v>
      </c>
      <c r="K102" s="69" t="s">
        <v>509</v>
      </c>
      <c r="L102" s="69" t="s">
        <v>509</v>
      </c>
      <c r="M102" s="60"/>
      <c r="N102" s="60"/>
      <c r="O102" s="60"/>
      <c r="P102" s="60"/>
      <c r="Q102" s="60"/>
      <c r="R102" s="60"/>
      <c r="S102" s="60"/>
    </row>
    <row r="103" spans="1:19" s="64" customFormat="1" x14ac:dyDescent="0.25">
      <c r="A103" s="67" t="s">
        <v>9</v>
      </c>
      <c r="B103" s="67" t="s">
        <v>24</v>
      </c>
      <c r="C103" s="2" t="s">
        <v>63</v>
      </c>
      <c r="D103" s="60"/>
      <c r="E103" s="60"/>
      <c r="F103" s="60"/>
      <c r="G103" s="69" t="s">
        <v>510</v>
      </c>
      <c r="H103" s="69" t="s">
        <v>510</v>
      </c>
      <c r="I103" s="69" t="s">
        <v>510</v>
      </c>
      <c r="J103" s="69" t="s">
        <v>510</v>
      </c>
      <c r="K103" s="69" t="s">
        <v>510</v>
      </c>
      <c r="L103" s="69" t="s">
        <v>510</v>
      </c>
      <c r="M103" s="60"/>
      <c r="N103" s="60"/>
      <c r="O103" s="60"/>
      <c r="P103" s="60"/>
      <c r="Q103" s="60"/>
      <c r="R103" s="60"/>
      <c r="S103" s="60"/>
    </row>
    <row r="104" spans="1:19" s="64" customFormat="1" x14ac:dyDescent="0.25">
      <c r="A104" s="67" t="s">
        <v>9</v>
      </c>
      <c r="B104" s="67" t="s">
        <v>24</v>
      </c>
      <c r="C104" s="2" t="s">
        <v>600</v>
      </c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</row>
    <row r="105" spans="1:19" s="64" customFormat="1" x14ac:dyDescent="0.25">
      <c r="A105" s="67" t="s">
        <v>9</v>
      </c>
      <c r="B105" s="67" t="s">
        <v>24</v>
      </c>
      <c r="C105" s="2" t="s">
        <v>557</v>
      </c>
      <c r="D105" s="60"/>
      <c r="E105" s="69" t="s">
        <v>572</v>
      </c>
      <c r="F105" s="69" t="s">
        <v>572</v>
      </c>
      <c r="G105" s="60"/>
      <c r="H105" s="60"/>
      <c r="I105" s="60"/>
      <c r="J105" s="60"/>
      <c r="K105" s="60"/>
      <c r="L105" s="60"/>
      <c r="M105" s="60" t="s">
        <v>678</v>
      </c>
      <c r="N105" s="60" t="s">
        <v>245</v>
      </c>
      <c r="O105" s="60" t="s">
        <v>303</v>
      </c>
      <c r="P105" s="60" t="s">
        <v>683</v>
      </c>
      <c r="Q105" s="60" t="s">
        <v>684</v>
      </c>
      <c r="R105" s="60" t="s">
        <v>685</v>
      </c>
      <c r="S105" s="60" t="s">
        <v>896</v>
      </c>
    </row>
    <row r="106" spans="1:19" s="64" customFormat="1" x14ac:dyDescent="0.25">
      <c r="A106" s="67" t="s">
        <v>9</v>
      </c>
      <c r="B106" s="67" t="s">
        <v>24</v>
      </c>
      <c r="C106" s="2" t="s">
        <v>558</v>
      </c>
      <c r="D106" s="60"/>
      <c r="E106" s="66" t="s">
        <v>573</v>
      </c>
      <c r="F106" s="66" t="s">
        <v>573</v>
      </c>
      <c r="G106" s="60"/>
      <c r="H106" s="60"/>
      <c r="I106" s="60"/>
      <c r="J106" s="60"/>
      <c r="K106" s="60"/>
      <c r="L106" s="60"/>
      <c r="M106" s="60" t="s">
        <v>679</v>
      </c>
      <c r="N106" s="60" t="s">
        <v>695</v>
      </c>
      <c r="O106" s="60" t="s">
        <v>696</v>
      </c>
      <c r="P106" s="60" t="s">
        <v>697</v>
      </c>
      <c r="Q106" s="60" t="s">
        <v>698</v>
      </c>
      <c r="R106" s="60" t="s">
        <v>699</v>
      </c>
      <c r="S106" s="60" t="s">
        <v>896</v>
      </c>
    </row>
    <row r="107" spans="1:19" s="64" customFormat="1" x14ac:dyDescent="0.25">
      <c r="A107" s="67" t="s">
        <v>9</v>
      </c>
      <c r="B107" s="67" t="s">
        <v>24</v>
      </c>
      <c r="C107" s="2" t="s">
        <v>559</v>
      </c>
      <c r="D107" s="60"/>
      <c r="E107" s="69" t="s">
        <v>576</v>
      </c>
      <c r="F107" s="69" t="s">
        <v>576</v>
      </c>
      <c r="G107" s="60"/>
      <c r="H107" s="60"/>
      <c r="I107" s="60"/>
      <c r="J107" s="60"/>
      <c r="K107" s="60"/>
      <c r="L107" s="60"/>
      <c r="M107" s="60" t="s">
        <v>147</v>
      </c>
      <c r="N107" s="60" t="s">
        <v>147</v>
      </c>
      <c r="O107" s="60" t="s">
        <v>147</v>
      </c>
      <c r="P107" s="60" t="s">
        <v>147</v>
      </c>
      <c r="Q107" s="60" t="s">
        <v>32</v>
      </c>
      <c r="R107" s="60" t="s">
        <v>32</v>
      </c>
      <c r="S107" s="60" t="s">
        <v>147</v>
      </c>
    </row>
    <row r="108" spans="1:19" s="64" customFormat="1" x14ac:dyDescent="0.25">
      <c r="A108" s="77" t="s">
        <v>9</v>
      </c>
      <c r="B108" s="67" t="s">
        <v>24</v>
      </c>
      <c r="C108" s="62" t="s">
        <v>841</v>
      </c>
      <c r="D108" s="60"/>
      <c r="E108" s="68" t="s">
        <v>577</v>
      </c>
      <c r="F108" s="68" t="s">
        <v>577</v>
      </c>
      <c r="G108" s="60"/>
      <c r="H108" s="60"/>
      <c r="I108" s="60"/>
      <c r="J108" s="60"/>
      <c r="K108" s="60"/>
      <c r="L108" s="60"/>
      <c r="M108" s="60" t="s">
        <v>1016</v>
      </c>
      <c r="N108" s="60" t="s">
        <v>1016</v>
      </c>
      <c r="O108" s="60" t="s">
        <v>1016</v>
      </c>
      <c r="P108" s="60" t="s">
        <v>1016</v>
      </c>
      <c r="Q108" s="60" t="s">
        <v>1016</v>
      </c>
      <c r="R108" s="60" t="s">
        <v>1016</v>
      </c>
      <c r="S108" s="60" t="s">
        <v>1016</v>
      </c>
    </row>
    <row r="109" spans="1:19" s="64" customFormat="1" x14ac:dyDescent="0.25">
      <c r="A109" s="67" t="s">
        <v>9</v>
      </c>
      <c r="B109" s="67" t="s">
        <v>24</v>
      </c>
      <c r="C109" s="2" t="s">
        <v>574</v>
      </c>
      <c r="D109" s="60"/>
      <c r="E109" s="69" t="s">
        <v>586</v>
      </c>
      <c r="F109" s="69" t="s">
        <v>586</v>
      </c>
      <c r="G109" s="60"/>
      <c r="H109" s="60"/>
      <c r="I109" s="60"/>
      <c r="J109" s="60"/>
      <c r="K109" s="60"/>
      <c r="L109" s="60"/>
      <c r="M109" s="60">
        <v>3</v>
      </c>
      <c r="N109" s="60" t="s">
        <v>492</v>
      </c>
      <c r="O109" s="60" t="s">
        <v>28</v>
      </c>
      <c r="P109" s="60" t="s">
        <v>492</v>
      </c>
      <c r="Q109" s="60" t="s">
        <v>28</v>
      </c>
      <c r="R109" s="60">
        <v>3</v>
      </c>
      <c r="S109" s="60" t="s">
        <v>492</v>
      </c>
    </row>
    <row r="110" spans="1:19" s="64" customFormat="1" x14ac:dyDescent="0.25">
      <c r="A110" s="67" t="s">
        <v>9</v>
      </c>
      <c r="B110" s="67" t="s">
        <v>24</v>
      </c>
      <c r="C110" s="2" t="s">
        <v>575</v>
      </c>
      <c r="D110" s="60"/>
      <c r="E110" s="69" t="s">
        <v>587</v>
      </c>
      <c r="F110" s="69" t="s">
        <v>587</v>
      </c>
      <c r="G110" s="60"/>
      <c r="H110" s="60"/>
      <c r="I110" s="60"/>
      <c r="J110" s="60"/>
      <c r="K110" s="60"/>
      <c r="L110" s="60"/>
      <c r="M110" s="60" t="s">
        <v>28</v>
      </c>
      <c r="N110" s="60" t="s">
        <v>492</v>
      </c>
      <c r="O110" s="60" t="s">
        <v>493</v>
      </c>
      <c r="P110" s="60" t="s">
        <v>493</v>
      </c>
      <c r="Q110" s="60" t="s">
        <v>492</v>
      </c>
      <c r="R110" s="60" t="s">
        <v>28</v>
      </c>
      <c r="S110" s="60" t="s">
        <v>492</v>
      </c>
    </row>
    <row r="111" spans="1:19" s="64" customFormat="1" x14ac:dyDescent="0.25">
      <c r="A111" s="67" t="s">
        <v>9</v>
      </c>
      <c r="B111" s="67" t="s">
        <v>24</v>
      </c>
      <c r="C111" s="2" t="s">
        <v>578</v>
      </c>
      <c r="D111" s="60"/>
      <c r="E111" s="69" t="s">
        <v>588</v>
      </c>
      <c r="F111" s="69" t="s">
        <v>588</v>
      </c>
      <c r="G111" s="60"/>
      <c r="H111" s="60"/>
      <c r="I111" s="60"/>
      <c r="J111" s="60"/>
      <c r="K111" s="60"/>
      <c r="L111" s="60"/>
      <c r="M111" s="60">
        <v>125690</v>
      </c>
      <c r="N111" s="60">
        <v>125691</v>
      </c>
      <c r="O111" s="60">
        <v>125692</v>
      </c>
      <c r="P111" s="60"/>
      <c r="Q111" s="60"/>
      <c r="R111" s="60"/>
      <c r="S111" s="60"/>
    </row>
    <row r="112" spans="1:19" s="64" customFormat="1" x14ac:dyDescent="0.25">
      <c r="A112" s="67" t="s">
        <v>9</v>
      </c>
      <c r="B112" s="67" t="s">
        <v>24</v>
      </c>
      <c r="C112" s="2" t="s">
        <v>579</v>
      </c>
      <c r="D112" s="60"/>
      <c r="E112" s="69" t="s">
        <v>589</v>
      </c>
      <c r="F112" s="69" t="s">
        <v>589</v>
      </c>
      <c r="G112" s="60"/>
      <c r="H112" s="60"/>
      <c r="I112" s="60"/>
      <c r="J112" s="60"/>
      <c r="K112" s="60"/>
      <c r="L112" s="60"/>
      <c r="M112" s="60">
        <v>1234</v>
      </c>
      <c r="N112" s="60">
        <v>1235</v>
      </c>
      <c r="O112" s="60">
        <v>1236</v>
      </c>
      <c r="P112" s="60">
        <v>1237</v>
      </c>
      <c r="Q112" s="60">
        <v>1238</v>
      </c>
      <c r="R112" s="60">
        <v>1239</v>
      </c>
      <c r="S112" s="60">
        <v>1239</v>
      </c>
    </row>
    <row r="113" spans="1:19" s="64" customFormat="1" x14ac:dyDescent="0.25">
      <c r="A113" s="67" t="s">
        <v>9</v>
      </c>
      <c r="B113" s="67" t="s">
        <v>24</v>
      </c>
      <c r="C113" s="2" t="s">
        <v>580</v>
      </c>
      <c r="D113" s="60"/>
      <c r="E113" s="69" t="s">
        <v>590</v>
      </c>
      <c r="F113" s="69" t="s">
        <v>590</v>
      </c>
      <c r="G113" s="60"/>
      <c r="H113" s="60"/>
      <c r="I113" s="60"/>
      <c r="J113" s="60"/>
      <c r="K113" s="60"/>
      <c r="L113" s="60"/>
      <c r="M113" s="60">
        <v>5647</v>
      </c>
      <c r="N113" s="60">
        <v>5647</v>
      </c>
      <c r="O113" s="60">
        <v>5647</v>
      </c>
      <c r="P113" s="60">
        <v>5647</v>
      </c>
      <c r="Q113" s="60">
        <v>5647</v>
      </c>
      <c r="R113" s="60">
        <v>5647</v>
      </c>
      <c r="S113" s="60">
        <v>5647</v>
      </c>
    </row>
    <row r="114" spans="1:19" s="64" customFormat="1" x14ac:dyDescent="0.25">
      <c r="A114" s="67" t="s">
        <v>9</v>
      </c>
      <c r="B114" s="67" t="s">
        <v>24</v>
      </c>
      <c r="C114" s="2" t="s">
        <v>581</v>
      </c>
      <c r="D114" s="60"/>
      <c r="E114" s="69" t="s">
        <v>591</v>
      </c>
      <c r="F114" s="69" t="s">
        <v>591</v>
      </c>
      <c r="G114" s="60"/>
      <c r="H114" s="60"/>
      <c r="I114" s="60"/>
      <c r="J114" s="60"/>
      <c r="K114" s="60"/>
      <c r="L114" s="60"/>
      <c r="M114" s="60" t="s">
        <v>680</v>
      </c>
      <c r="N114" s="60" t="s">
        <v>690</v>
      </c>
      <c r="O114" s="60" t="s">
        <v>691</v>
      </c>
      <c r="P114" s="60" t="s">
        <v>692</v>
      </c>
      <c r="Q114" s="60" t="s">
        <v>693</v>
      </c>
      <c r="R114" s="60" t="s">
        <v>694</v>
      </c>
      <c r="S114" s="60" t="s">
        <v>694</v>
      </c>
    </row>
    <row r="115" spans="1:19" s="64" customFormat="1" x14ac:dyDescent="0.25">
      <c r="A115" s="67" t="s">
        <v>9</v>
      </c>
      <c r="B115" s="67" t="s">
        <v>24</v>
      </c>
      <c r="C115" s="2" t="s">
        <v>582</v>
      </c>
      <c r="D115" s="60"/>
      <c r="E115" s="68" t="s">
        <v>592</v>
      </c>
      <c r="F115" s="68" t="s">
        <v>592</v>
      </c>
      <c r="G115" s="60"/>
      <c r="H115" s="60"/>
      <c r="I115" s="60"/>
      <c r="J115" s="60"/>
      <c r="K115" s="60"/>
      <c r="L115" s="60"/>
      <c r="M115" s="60" t="s">
        <v>493</v>
      </c>
      <c r="N115" s="60" t="s">
        <v>494</v>
      </c>
      <c r="O115" s="60" t="s">
        <v>495</v>
      </c>
      <c r="P115" s="60" t="s">
        <v>496</v>
      </c>
      <c r="Q115" s="60" t="s">
        <v>821</v>
      </c>
      <c r="R115" s="60" t="s">
        <v>1020</v>
      </c>
      <c r="S115" s="60" t="s">
        <v>28</v>
      </c>
    </row>
    <row r="116" spans="1:19" s="64" customFormat="1" x14ac:dyDescent="0.25">
      <c r="A116" s="67" t="s">
        <v>9</v>
      </c>
      <c r="B116" s="67" t="s">
        <v>25</v>
      </c>
      <c r="C116" s="2" t="s">
        <v>583</v>
      </c>
      <c r="D116" s="60"/>
      <c r="E116" s="69" t="s">
        <v>593</v>
      </c>
      <c r="F116" s="69" t="s">
        <v>593</v>
      </c>
      <c r="G116" s="69" t="s">
        <v>513</v>
      </c>
      <c r="H116" s="69" t="s">
        <v>513</v>
      </c>
      <c r="I116" s="69" t="s">
        <v>513</v>
      </c>
      <c r="J116" s="69" t="s">
        <v>513</v>
      </c>
      <c r="K116" s="69" t="s">
        <v>513</v>
      </c>
      <c r="L116" s="69" t="s">
        <v>513</v>
      </c>
      <c r="M116" s="60" t="s">
        <v>907</v>
      </c>
      <c r="N116" s="60" t="s">
        <v>907</v>
      </c>
      <c r="O116" s="60" t="s">
        <v>1015</v>
      </c>
      <c r="P116" s="60" t="s">
        <v>907</v>
      </c>
      <c r="Q116" s="60"/>
      <c r="R116" s="60"/>
      <c r="S116" s="60"/>
    </row>
    <row r="117" spans="1:19" s="64" customFormat="1" x14ac:dyDescent="0.25">
      <c r="A117" s="67" t="s">
        <v>9</v>
      </c>
      <c r="B117" s="67" t="s">
        <v>24</v>
      </c>
      <c r="C117" s="2" t="s">
        <v>584</v>
      </c>
      <c r="D117" s="60"/>
      <c r="E117" s="60"/>
      <c r="F117" s="60"/>
      <c r="G117" s="60"/>
      <c r="H117" s="60"/>
      <c r="I117" s="60"/>
      <c r="J117" s="60"/>
      <c r="K117" s="60"/>
      <c r="L117" s="60"/>
      <c r="M117" s="60" t="s">
        <v>1018</v>
      </c>
      <c r="N117" s="60" t="s">
        <v>245</v>
      </c>
      <c r="O117" s="60" t="s">
        <v>303</v>
      </c>
      <c r="P117" s="60" t="s">
        <v>683</v>
      </c>
      <c r="Q117" s="60" t="s">
        <v>684</v>
      </c>
      <c r="R117" s="60" t="s">
        <v>685</v>
      </c>
      <c r="S117" s="60" t="s">
        <v>685</v>
      </c>
    </row>
    <row r="118" spans="1:19" s="64" customFormat="1" x14ac:dyDescent="0.25">
      <c r="A118" s="67" t="s">
        <v>9</v>
      </c>
      <c r="B118" s="67" t="s">
        <v>24</v>
      </c>
      <c r="C118" s="2" t="s">
        <v>585</v>
      </c>
      <c r="D118" s="60"/>
      <c r="E118" s="60"/>
      <c r="F118" s="60"/>
      <c r="G118" s="60"/>
      <c r="H118" s="60"/>
      <c r="I118" s="60"/>
      <c r="J118" s="60"/>
      <c r="K118" s="60"/>
      <c r="L118" s="60"/>
      <c r="M118" s="60" t="s">
        <v>1019</v>
      </c>
      <c r="N118" s="60" t="s">
        <v>300</v>
      </c>
      <c r="O118" s="60" t="s">
        <v>686</v>
      </c>
      <c r="P118" s="60" t="s">
        <v>687</v>
      </c>
      <c r="Q118" s="60" t="s">
        <v>688</v>
      </c>
      <c r="R118" s="60" t="s">
        <v>689</v>
      </c>
      <c r="S118" s="60" t="s">
        <v>689</v>
      </c>
    </row>
    <row r="119" spans="1:19" s="64" customFormat="1" x14ac:dyDescent="0.25">
      <c r="A119" s="67" t="s">
        <v>9</v>
      </c>
      <c r="B119" s="67" t="s">
        <v>24</v>
      </c>
      <c r="C119" s="2" t="s">
        <v>681</v>
      </c>
      <c r="D119" s="60"/>
      <c r="E119" s="69" t="s">
        <v>682</v>
      </c>
      <c r="F119" s="69" t="s">
        <v>682</v>
      </c>
      <c r="G119" s="60"/>
      <c r="H119" s="60"/>
      <c r="I119" s="60"/>
      <c r="J119" s="60"/>
      <c r="K119" s="60"/>
      <c r="L119" s="60"/>
      <c r="M119" s="26">
        <v>1098</v>
      </c>
      <c r="N119" s="26">
        <v>1099</v>
      </c>
      <c r="O119" s="26">
        <v>1100</v>
      </c>
      <c r="P119" s="26">
        <v>1101</v>
      </c>
      <c r="Q119" s="26">
        <v>1102</v>
      </c>
      <c r="R119" s="26">
        <v>1103</v>
      </c>
      <c r="S119" s="26" t="s">
        <v>891</v>
      </c>
    </row>
    <row r="120" spans="1:19" x14ac:dyDescent="0.25">
      <c r="A120" s="67" t="s">
        <v>9</v>
      </c>
      <c r="B120" s="67" t="s">
        <v>24</v>
      </c>
      <c r="C120" s="2" t="s">
        <v>953</v>
      </c>
      <c r="D120" s="60"/>
      <c r="G120" s="69" t="s">
        <v>512</v>
      </c>
      <c r="H120" s="69" t="s">
        <v>512</v>
      </c>
      <c r="I120" s="69" t="s">
        <v>512</v>
      </c>
      <c r="J120" s="69" t="s">
        <v>512</v>
      </c>
      <c r="K120" s="69" t="s">
        <v>512</v>
      </c>
      <c r="L120" s="69" t="s">
        <v>512</v>
      </c>
      <c r="M120" s="61"/>
      <c r="N120" s="61"/>
      <c r="O120" s="61"/>
      <c r="P120" s="61"/>
      <c r="Q120" s="61"/>
      <c r="R120" s="61"/>
      <c r="S120" s="61"/>
    </row>
    <row r="121" spans="1:19" x14ac:dyDescent="0.25">
      <c r="A121" s="67" t="s">
        <v>9</v>
      </c>
      <c r="B121" s="67" t="s">
        <v>24</v>
      </c>
      <c r="C121" s="61"/>
      <c r="D121" s="60"/>
      <c r="E121" s="69" t="s">
        <v>801</v>
      </c>
      <c r="F121" s="69" t="s">
        <v>801</v>
      </c>
      <c r="G121" s="69" t="s">
        <v>514</v>
      </c>
      <c r="H121" s="69" t="s">
        <v>514</v>
      </c>
      <c r="I121" s="69" t="s">
        <v>514</v>
      </c>
      <c r="J121" s="69" t="s">
        <v>514</v>
      </c>
      <c r="K121" s="69" t="s">
        <v>514</v>
      </c>
      <c r="L121" s="69" t="s">
        <v>514</v>
      </c>
      <c r="M121" s="61"/>
      <c r="N121" s="61"/>
      <c r="O121" s="61"/>
      <c r="P121" s="61"/>
      <c r="Q121" s="61"/>
      <c r="R121" s="61"/>
      <c r="S121" s="61"/>
    </row>
    <row r="122" spans="1:19" x14ac:dyDescent="0.25">
      <c r="A122" s="67" t="s">
        <v>9</v>
      </c>
      <c r="B122" s="67" t="s">
        <v>24</v>
      </c>
      <c r="C122" s="61"/>
      <c r="D122" s="60"/>
      <c r="E122" s="69" t="s">
        <v>802</v>
      </c>
      <c r="F122" s="69" t="s">
        <v>802</v>
      </c>
      <c r="G122" s="69" t="s">
        <v>515</v>
      </c>
      <c r="H122" s="69" t="s">
        <v>515</v>
      </c>
      <c r="I122" s="69" t="s">
        <v>515</v>
      </c>
      <c r="J122" s="69" t="s">
        <v>515</v>
      </c>
      <c r="K122" s="69" t="s">
        <v>515</v>
      </c>
      <c r="L122" s="69" t="s">
        <v>515</v>
      </c>
      <c r="M122" s="61"/>
      <c r="N122" s="61"/>
      <c r="O122" s="61"/>
      <c r="P122" s="61"/>
      <c r="Q122" s="61"/>
      <c r="R122" s="61"/>
      <c r="S122" s="61"/>
    </row>
    <row r="123" spans="1:19" x14ac:dyDescent="0.25">
      <c r="A123" s="67" t="s">
        <v>9</v>
      </c>
      <c r="B123" s="67" t="s">
        <v>24</v>
      </c>
      <c r="C123" s="61"/>
      <c r="D123" s="60"/>
      <c r="E123" s="69" t="s">
        <v>803</v>
      </c>
      <c r="F123" s="69" t="s">
        <v>803</v>
      </c>
      <c r="G123" s="69" t="s">
        <v>516</v>
      </c>
      <c r="H123" s="69" t="s">
        <v>516</v>
      </c>
      <c r="I123" s="69" t="s">
        <v>516</v>
      </c>
      <c r="J123" s="69" t="s">
        <v>516</v>
      </c>
      <c r="K123" s="69" t="s">
        <v>516</v>
      </c>
      <c r="L123" s="69" t="s">
        <v>516</v>
      </c>
      <c r="M123" s="61"/>
      <c r="N123" s="61"/>
      <c r="O123" s="61"/>
      <c r="P123" s="61"/>
      <c r="Q123" s="61"/>
      <c r="R123" s="61"/>
      <c r="S123" s="61"/>
    </row>
    <row r="124" spans="1:19" x14ac:dyDescent="0.25">
      <c r="A124" s="67" t="s">
        <v>9</v>
      </c>
      <c r="B124" s="67" t="s">
        <v>24</v>
      </c>
      <c r="C124" s="61"/>
      <c r="D124" s="60"/>
      <c r="E124" s="69" t="s">
        <v>804</v>
      </c>
      <c r="F124" s="69" t="s">
        <v>804</v>
      </c>
      <c r="G124" s="69" t="s">
        <v>517</v>
      </c>
      <c r="H124" s="69" t="s">
        <v>517</v>
      </c>
      <c r="I124" s="69" t="s">
        <v>517</v>
      </c>
      <c r="J124" s="69" t="s">
        <v>517</v>
      </c>
      <c r="K124" s="69" t="s">
        <v>517</v>
      </c>
      <c r="L124" s="69" t="s">
        <v>517</v>
      </c>
      <c r="M124" s="61"/>
      <c r="N124" s="61"/>
      <c r="O124" s="61"/>
      <c r="P124" s="61"/>
      <c r="Q124" s="61"/>
      <c r="R124" s="61"/>
      <c r="S124" s="61"/>
    </row>
    <row r="125" spans="1:19" x14ac:dyDescent="0.25">
      <c r="A125" s="67" t="s">
        <v>9</v>
      </c>
      <c r="B125" s="67" t="s">
        <v>24</v>
      </c>
      <c r="C125" s="61"/>
      <c r="D125" s="60"/>
      <c r="E125" s="69" t="s">
        <v>805</v>
      </c>
      <c r="F125" s="69" t="s">
        <v>805</v>
      </c>
      <c r="G125" s="69" t="s">
        <v>518</v>
      </c>
      <c r="H125" s="69" t="s">
        <v>518</v>
      </c>
      <c r="I125" s="69" t="s">
        <v>518</v>
      </c>
      <c r="J125" s="69" t="s">
        <v>518</v>
      </c>
      <c r="K125" s="69" t="s">
        <v>518</v>
      </c>
      <c r="L125" s="69" t="s">
        <v>518</v>
      </c>
      <c r="M125" s="61"/>
      <c r="N125" s="61"/>
      <c r="O125" s="61"/>
      <c r="P125" s="61"/>
      <c r="Q125" s="61"/>
      <c r="R125" s="61"/>
      <c r="S125" s="61"/>
    </row>
    <row r="126" spans="1:19" x14ac:dyDescent="0.25">
      <c r="A126" s="67" t="s">
        <v>9</v>
      </c>
      <c r="B126" s="67" t="s">
        <v>24</v>
      </c>
      <c r="C126" s="61"/>
      <c r="D126" s="60"/>
      <c r="E126" s="69" t="s">
        <v>806</v>
      </c>
      <c r="F126" s="69" t="s">
        <v>806</v>
      </c>
      <c r="G126" s="69" t="s">
        <v>519</v>
      </c>
      <c r="H126" s="69" t="s">
        <v>519</v>
      </c>
      <c r="I126" s="69" t="s">
        <v>519</v>
      </c>
      <c r="J126" s="69" t="s">
        <v>519</v>
      </c>
      <c r="K126" s="69" t="s">
        <v>519</v>
      </c>
      <c r="L126" s="69" t="s">
        <v>519</v>
      </c>
      <c r="M126" s="61"/>
      <c r="N126" s="61"/>
      <c r="O126" s="61"/>
      <c r="P126" s="61"/>
      <c r="Q126" s="61"/>
      <c r="R126" s="61"/>
      <c r="S126" s="61"/>
    </row>
    <row r="127" spans="1:19" x14ac:dyDescent="0.25">
      <c r="A127" s="67" t="s">
        <v>9</v>
      </c>
      <c r="B127" s="67" t="s">
        <v>24</v>
      </c>
      <c r="C127" s="61"/>
      <c r="D127" s="60"/>
      <c r="E127" s="69" t="s">
        <v>807</v>
      </c>
      <c r="F127" s="69" t="s">
        <v>807</v>
      </c>
      <c r="G127" s="69" t="s">
        <v>520</v>
      </c>
      <c r="H127" s="69" t="s">
        <v>520</v>
      </c>
      <c r="I127" s="69" t="s">
        <v>520</v>
      </c>
      <c r="J127" s="69" t="s">
        <v>520</v>
      </c>
      <c r="K127" s="69" t="s">
        <v>520</v>
      </c>
      <c r="L127" s="69" t="s">
        <v>520</v>
      </c>
      <c r="M127" s="61"/>
      <c r="N127" s="61"/>
      <c r="O127" s="61"/>
      <c r="P127" s="61"/>
      <c r="Q127" s="61"/>
      <c r="R127" s="61"/>
      <c r="S127" s="61"/>
    </row>
    <row r="128" spans="1:19" x14ac:dyDescent="0.25">
      <c r="A128" s="67" t="s">
        <v>9</v>
      </c>
      <c r="B128" s="67" t="s">
        <v>24</v>
      </c>
      <c r="C128" s="61"/>
      <c r="D128" s="60"/>
      <c r="E128" s="69" t="s">
        <v>808</v>
      </c>
      <c r="F128" s="69" t="s">
        <v>808</v>
      </c>
      <c r="G128" s="69" t="s">
        <v>560</v>
      </c>
      <c r="H128" s="69" t="s">
        <v>560</v>
      </c>
      <c r="I128" s="69" t="s">
        <v>560</v>
      </c>
      <c r="J128" s="69" t="s">
        <v>560</v>
      </c>
      <c r="K128" s="69" t="s">
        <v>560</v>
      </c>
      <c r="L128" s="69" t="s">
        <v>560</v>
      </c>
      <c r="M128" s="61"/>
      <c r="N128" s="61"/>
      <c r="O128" s="61"/>
      <c r="P128" s="61"/>
      <c r="Q128" s="61"/>
      <c r="R128" s="61"/>
      <c r="S128" s="61"/>
    </row>
    <row r="129" spans="1:19" x14ac:dyDescent="0.25">
      <c r="A129" s="67" t="s">
        <v>9</v>
      </c>
      <c r="B129" s="67" t="s">
        <v>24</v>
      </c>
      <c r="C129" s="61"/>
      <c r="D129" s="60"/>
      <c r="E129" s="69" t="s">
        <v>809</v>
      </c>
      <c r="F129" s="69" t="s">
        <v>809</v>
      </c>
      <c r="G129" s="69" t="s">
        <v>561</v>
      </c>
      <c r="H129" s="69" t="s">
        <v>561</v>
      </c>
      <c r="I129" s="69" t="s">
        <v>561</v>
      </c>
      <c r="J129" s="69" t="s">
        <v>561</v>
      </c>
      <c r="K129" s="69" t="s">
        <v>561</v>
      </c>
      <c r="L129" s="69" t="s">
        <v>561</v>
      </c>
      <c r="M129" s="61"/>
      <c r="N129" s="61"/>
      <c r="O129" s="61"/>
      <c r="P129" s="61"/>
      <c r="Q129" s="61"/>
      <c r="R129" s="61"/>
      <c r="S129" s="61"/>
    </row>
    <row r="130" spans="1:19" x14ac:dyDescent="0.25">
      <c r="A130" s="67" t="s">
        <v>9</v>
      </c>
      <c r="B130" s="67" t="s">
        <v>24</v>
      </c>
      <c r="C130" s="61"/>
      <c r="D130" s="60"/>
      <c r="E130" s="69" t="s">
        <v>810</v>
      </c>
      <c r="F130" s="69" t="s">
        <v>810</v>
      </c>
      <c r="G130" s="69" t="s">
        <v>562</v>
      </c>
      <c r="H130" s="69" t="s">
        <v>562</v>
      </c>
      <c r="I130" s="69" t="s">
        <v>562</v>
      </c>
      <c r="J130" s="69" t="s">
        <v>562</v>
      </c>
      <c r="K130" s="69" t="s">
        <v>562</v>
      </c>
      <c r="L130" s="69" t="s">
        <v>562</v>
      </c>
      <c r="M130" s="61"/>
      <c r="N130" s="61"/>
      <c r="O130" s="61"/>
      <c r="P130" s="61"/>
      <c r="Q130" s="61"/>
      <c r="R130" s="61"/>
      <c r="S130" s="61"/>
    </row>
    <row r="131" spans="1:19" x14ac:dyDescent="0.25">
      <c r="A131" s="67" t="s">
        <v>9</v>
      </c>
      <c r="B131" s="67" t="s">
        <v>24</v>
      </c>
      <c r="C131" s="61"/>
      <c r="D131" s="60"/>
      <c r="E131" s="69" t="s">
        <v>811</v>
      </c>
      <c r="F131" s="69" t="s">
        <v>811</v>
      </c>
      <c r="G131" s="69" t="s">
        <v>563</v>
      </c>
      <c r="H131" s="69" t="s">
        <v>563</v>
      </c>
      <c r="I131" s="69" t="s">
        <v>563</v>
      </c>
      <c r="J131" s="69" t="s">
        <v>563</v>
      </c>
      <c r="K131" s="69" t="s">
        <v>563</v>
      </c>
      <c r="L131" s="69" t="s">
        <v>563</v>
      </c>
      <c r="M131" s="61"/>
      <c r="N131" s="61"/>
      <c r="O131" s="61"/>
      <c r="P131" s="61"/>
      <c r="Q131" s="61"/>
      <c r="R131" s="61"/>
      <c r="S131" s="61"/>
    </row>
    <row r="132" spans="1:19" x14ac:dyDescent="0.25">
      <c r="A132" s="67" t="s">
        <v>9</v>
      </c>
      <c r="B132" s="67" t="s">
        <v>24</v>
      </c>
      <c r="C132" s="61"/>
      <c r="D132" s="60"/>
      <c r="E132" s="69" t="s">
        <v>812</v>
      </c>
      <c r="F132" s="69" t="s">
        <v>812</v>
      </c>
      <c r="G132" s="69" t="s">
        <v>564</v>
      </c>
      <c r="H132" s="69" t="s">
        <v>564</v>
      </c>
      <c r="I132" s="69" t="s">
        <v>564</v>
      </c>
      <c r="J132" s="69" t="s">
        <v>564</v>
      </c>
      <c r="K132" s="69" t="s">
        <v>564</v>
      </c>
      <c r="L132" s="69" t="s">
        <v>564</v>
      </c>
      <c r="M132" s="61"/>
      <c r="N132" s="61"/>
      <c r="O132" s="61"/>
      <c r="P132" s="61"/>
      <c r="Q132" s="61"/>
      <c r="R132" s="61"/>
      <c r="S132" s="61"/>
    </row>
    <row r="133" spans="1:19" x14ac:dyDescent="0.25">
      <c r="A133" s="67" t="s">
        <v>9</v>
      </c>
      <c r="B133" s="67" t="s">
        <v>24</v>
      </c>
      <c r="C133" s="61"/>
      <c r="D133" s="60"/>
      <c r="E133" s="69" t="s">
        <v>813</v>
      </c>
      <c r="F133" s="69" t="s">
        <v>813</v>
      </c>
      <c r="G133" s="69" t="s">
        <v>565</v>
      </c>
      <c r="H133" s="69" t="s">
        <v>565</v>
      </c>
      <c r="I133" s="69" t="s">
        <v>565</v>
      </c>
      <c r="J133" s="69" t="s">
        <v>565</v>
      </c>
      <c r="K133" s="69" t="s">
        <v>565</v>
      </c>
      <c r="L133" s="69" t="s">
        <v>565</v>
      </c>
      <c r="M133" s="61"/>
      <c r="N133" s="61"/>
      <c r="O133" s="61"/>
      <c r="P133" s="61"/>
      <c r="Q133" s="61"/>
      <c r="R133" s="61"/>
      <c r="S133" s="61"/>
    </row>
    <row r="134" spans="1:19" x14ac:dyDescent="0.25">
      <c r="A134" s="67" t="s">
        <v>9</v>
      </c>
      <c r="B134" s="67" t="s">
        <v>24</v>
      </c>
      <c r="C134" s="61"/>
      <c r="D134" s="60"/>
      <c r="E134" s="69" t="s">
        <v>814</v>
      </c>
      <c r="F134" s="69" t="s">
        <v>814</v>
      </c>
      <c r="G134" s="69" t="s">
        <v>566</v>
      </c>
      <c r="H134" s="69" t="s">
        <v>566</v>
      </c>
      <c r="I134" s="69" t="s">
        <v>566</v>
      </c>
      <c r="J134" s="69" t="s">
        <v>566</v>
      </c>
      <c r="K134" s="69" t="s">
        <v>566</v>
      </c>
      <c r="L134" s="69" t="s">
        <v>566</v>
      </c>
      <c r="M134" s="61"/>
      <c r="N134" s="61"/>
      <c r="O134" s="61"/>
      <c r="P134" s="61"/>
      <c r="Q134" s="61"/>
      <c r="R134" s="61"/>
      <c r="S134" s="61"/>
    </row>
    <row r="135" spans="1:19" x14ac:dyDescent="0.25">
      <c r="A135" s="67" t="s">
        <v>9</v>
      </c>
      <c r="B135" s="67" t="s">
        <v>24</v>
      </c>
      <c r="C135" s="61"/>
      <c r="D135" s="60"/>
      <c r="E135" s="69" t="s">
        <v>815</v>
      </c>
      <c r="F135" s="69" t="s">
        <v>815</v>
      </c>
      <c r="G135" s="69" t="s">
        <v>567</v>
      </c>
      <c r="H135" s="69" t="s">
        <v>567</v>
      </c>
      <c r="I135" s="69" t="s">
        <v>567</v>
      </c>
      <c r="J135" s="69" t="s">
        <v>567</v>
      </c>
      <c r="K135" s="69" t="s">
        <v>567</v>
      </c>
      <c r="L135" s="69" t="s">
        <v>567</v>
      </c>
      <c r="M135" s="61"/>
      <c r="N135" s="61"/>
      <c r="O135" s="61"/>
      <c r="P135" s="61"/>
      <c r="Q135" s="61"/>
      <c r="R135" s="61"/>
      <c r="S135" s="61"/>
    </row>
    <row r="136" spans="1:19" x14ac:dyDescent="0.25">
      <c r="A136" s="67" t="s">
        <v>9</v>
      </c>
      <c r="B136" s="67" t="s">
        <v>24</v>
      </c>
      <c r="C136" s="61"/>
      <c r="D136" s="60"/>
      <c r="E136" s="69" t="s">
        <v>816</v>
      </c>
      <c r="F136" s="69" t="s">
        <v>816</v>
      </c>
      <c r="G136" s="69" t="s">
        <v>568</v>
      </c>
      <c r="H136" s="69" t="s">
        <v>568</v>
      </c>
      <c r="I136" s="69" t="s">
        <v>568</v>
      </c>
      <c r="J136" s="69" t="s">
        <v>568</v>
      </c>
      <c r="K136" s="69" t="s">
        <v>568</v>
      </c>
      <c r="L136" s="69" t="s">
        <v>568</v>
      </c>
      <c r="M136" s="61"/>
      <c r="N136" s="61"/>
      <c r="O136" s="61"/>
      <c r="P136" s="61"/>
      <c r="Q136" s="61"/>
      <c r="R136" s="61"/>
      <c r="S136" s="61"/>
    </row>
    <row r="137" spans="1:19" x14ac:dyDescent="0.25">
      <c r="A137" s="67" t="s">
        <v>9</v>
      </c>
      <c r="B137" s="67" t="s">
        <v>24</v>
      </c>
      <c r="C137" s="61"/>
      <c r="D137" s="60"/>
      <c r="E137" s="69" t="s">
        <v>817</v>
      </c>
      <c r="F137" s="69" t="s">
        <v>817</v>
      </c>
      <c r="G137" s="69" t="s">
        <v>569</v>
      </c>
      <c r="H137" s="69" t="s">
        <v>569</v>
      </c>
      <c r="I137" s="69" t="s">
        <v>569</v>
      </c>
      <c r="J137" s="69" t="s">
        <v>569</v>
      </c>
      <c r="K137" s="69" t="s">
        <v>569</v>
      </c>
      <c r="L137" s="69" t="s">
        <v>569</v>
      </c>
      <c r="M137" s="61"/>
      <c r="N137" s="61"/>
      <c r="O137" s="61"/>
      <c r="P137" s="61"/>
      <c r="Q137" s="61"/>
      <c r="R137" s="61"/>
      <c r="S137" s="61"/>
    </row>
    <row r="138" spans="1:19" x14ac:dyDescent="0.25">
      <c r="A138" s="67" t="s">
        <v>9</v>
      </c>
      <c r="B138" s="67" t="s">
        <v>24</v>
      </c>
      <c r="C138" s="61"/>
      <c r="D138" s="60"/>
      <c r="E138" s="69" t="s">
        <v>818</v>
      </c>
      <c r="F138" s="69" t="s">
        <v>818</v>
      </c>
      <c r="G138" s="69" t="s">
        <v>570</v>
      </c>
      <c r="H138" s="69" t="s">
        <v>570</v>
      </c>
      <c r="I138" s="69" t="s">
        <v>570</v>
      </c>
      <c r="J138" s="69" t="s">
        <v>570</v>
      </c>
      <c r="K138" s="69" t="s">
        <v>570</v>
      </c>
      <c r="L138" s="69" t="s">
        <v>570</v>
      </c>
      <c r="M138" s="61"/>
      <c r="N138" s="61"/>
      <c r="O138" s="61"/>
      <c r="P138" s="61"/>
      <c r="Q138" s="61"/>
      <c r="R138" s="61"/>
      <c r="S138" s="61"/>
    </row>
    <row r="139" spans="1:19" x14ac:dyDescent="0.25">
      <c r="A139" s="67" t="s">
        <v>9</v>
      </c>
      <c r="B139" s="67" t="s">
        <v>24</v>
      </c>
      <c r="C139" s="61"/>
      <c r="D139" s="60"/>
      <c r="E139" s="69" t="s">
        <v>819</v>
      </c>
      <c r="F139" s="69" t="s">
        <v>819</v>
      </c>
      <c r="G139" s="69" t="s">
        <v>571</v>
      </c>
      <c r="H139" s="69" t="s">
        <v>571</v>
      </c>
      <c r="I139" s="69" t="s">
        <v>571</v>
      </c>
      <c r="J139" s="69" t="s">
        <v>571</v>
      </c>
      <c r="K139" s="69" t="s">
        <v>571</v>
      </c>
      <c r="L139" s="69" t="s">
        <v>571</v>
      </c>
      <c r="M139" s="61"/>
      <c r="N139" s="61"/>
      <c r="O139" s="61"/>
      <c r="P139" s="61"/>
      <c r="Q139" s="61"/>
      <c r="R139" s="61"/>
      <c r="S139" s="61"/>
    </row>
    <row r="140" spans="1:19" x14ac:dyDescent="0.25">
      <c r="A140" s="67" t="s">
        <v>9</v>
      </c>
      <c r="B140" s="67" t="s">
        <v>24</v>
      </c>
      <c r="C140" s="61"/>
      <c r="D140" s="60"/>
      <c r="E140" s="69" t="s">
        <v>820</v>
      </c>
      <c r="F140" s="69" t="s">
        <v>820</v>
      </c>
      <c r="G140" s="69" t="s">
        <v>572</v>
      </c>
      <c r="H140" s="69" t="s">
        <v>572</v>
      </c>
      <c r="I140" s="69" t="s">
        <v>572</v>
      </c>
      <c r="J140" s="69" t="s">
        <v>572</v>
      </c>
      <c r="K140" s="69" t="s">
        <v>572</v>
      </c>
      <c r="L140" s="69" t="s">
        <v>572</v>
      </c>
      <c r="M140" s="61"/>
      <c r="N140" s="61"/>
      <c r="O140" s="61"/>
      <c r="P140" s="61"/>
      <c r="Q140" s="61"/>
      <c r="R140" s="61"/>
      <c r="S140" s="61"/>
    </row>
    <row r="141" spans="1:19" x14ac:dyDescent="0.25">
      <c r="A141" s="67" t="s">
        <v>9</v>
      </c>
      <c r="B141" s="67" t="s">
        <v>24</v>
      </c>
      <c r="C141" s="61"/>
      <c r="D141" s="60"/>
      <c r="E141" s="69" t="s">
        <v>821</v>
      </c>
      <c r="F141" s="69" t="s">
        <v>821</v>
      </c>
      <c r="G141" s="69" t="s">
        <v>573</v>
      </c>
      <c r="H141" s="69" t="s">
        <v>573</v>
      </c>
      <c r="I141" s="69" t="s">
        <v>573</v>
      </c>
      <c r="J141" s="69" t="s">
        <v>573</v>
      </c>
      <c r="K141" s="69" t="s">
        <v>573</v>
      </c>
      <c r="L141" s="69" t="s">
        <v>573</v>
      </c>
      <c r="M141" s="61"/>
      <c r="N141" s="61"/>
      <c r="O141" s="61"/>
      <c r="P141" s="61"/>
      <c r="Q141" s="61"/>
      <c r="R141" s="61"/>
      <c r="S141" s="61"/>
    </row>
    <row r="142" spans="1:19" x14ac:dyDescent="0.25">
      <c r="A142" s="67" t="s">
        <v>9</v>
      </c>
      <c r="B142" s="67" t="s">
        <v>24</v>
      </c>
      <c r="C142" s="61"/>
      <c r="D142" s="60"/>
      <c r="E142" s="69" t="s">
        <v>822</v>
      </c>
      <c r="F142" s="69" t="s">
        <v>822</v>
      </c>
      <c r="G142" s="69" t="s">
        <v>576</v>
      </c>
      <c r="H142" s="69" t="s">
        <v>576</v>
      </c>
      <c r="I142" s="69" t="s">
        <v>576</v>
      </c>
      <c r="J142" s="69" t="s">
        <v>576</v>
      </c>
      <c r="K142" s="69" t="s">
        <v>576</v>
      </c>
      <c r="L142" s="69" t="s">
        <v>576</v>
      </c>
      <c r="M142" s="61"/>
      <c r="N142" s="61"/>
      <c r="O142" s="61"/>
      <c r="P142" s="61"/>
      <c r="Q142" s="61"/>
      <c r="R142" s="61"/>
      <c r="S142" s="61"/>
    </row>
    <row r="143" spans="1:19" x14ac:dyDescent="0.25">
      <c r="A143" s="67" t="s">
        <v>9</v>
      </c>
      <c r="B143" s="67" t="s">
        <v>24</v>
      </c>
      <c r="C143" s="61"/>
      <c r="D143" s="60"/>
      <c r="E143" s="69" t="s">
        <v>823</v>
      </c>
      <c r="F143" s="69" t="s">
        <v>823</v>
      </c>
      <c r="G143" s="69" t="s">
        <v>577</v>
      </c>
      <c r="H143" s="69" t="s">
        <v>577</v>
      </c>
      <c r="I143" s="69" t="s">
        <v>577</v>
      </c>
      <c r="J143" s="69" t="s">
        <v>577</v>
      </c>
      <c r="K143" s="69" t="s">
        <v>577</v>
      </c>
      <c r="L143" s="69" t="s">
        <v>577</v>
      </c>
      <c r="M143" s="61"/>
      <c r="N143" s="61"/>
      <c r="O143" s="61"/>
      <c r="P143" s="61"/>
      <c r="Q143" s="61"/>
      <c r="R143" s="61"/>
      <c r="S143" s="61"/>
    </row>
    <row r="144" spans="1:19" x14ac:dyDescent="0.25">
      <c r="A144" s="67" t="s">
        <v>9</v>
      </c>
      <c r="B144" s="67" t="s">
        <v>24</v>
      </c>
      <c r="C144" s="61"/>
      <c r="D144" s="60"/>
      <c r="E144" s="69" t="s">
        <v>824</v>
      </c>
      <c r="F144" s="69" t="s">
        <v>824</v>
      </c>
      <c r="G144" s="69" t="s">
        <v>586</v>
      </c>
      <c r="H144" s="69" t="s">
        <v>586</v>
      </c>
      <c r="I144" s="69" t="s">
        <v>586</v>
      </c>
      <c r="J144" s="69" t="s">
        <v>586</v>
      </c>
      <c r="K144" s="69" t="s">
        <v>586</v>
      </c>
      <c r="L144" s="69" t="s">
        <v>586</v>
      </c>
      <c r="M144" s="61"/>
      <c r="N144" s="61"/>
      <c r="O144" s="61"/>
      <c r="P144" s="61"/>
      <c r="Q144" s="61"/>
      <c r="R144" s="61"/>
      <c r="S144" s="61"/>
    </row>
    <row r="145" spans="1:19" x14ac:dyDescent="0.25">
      <c r="A145" s="67" t="s">
        <v>9</v>
      </c>
      <c r="B145" s="67" t="s">
        <v>24</v>
      </c>
      <c r="C145" s="61"/>
      <c r="D145" s="60"/>
      <c r="E145" s="69" t="s">
        <v>825</v>
      </c>
      <c r="F145" s="69" t="s">
        <v>825</v>
      </c>
      <c r="G145" s="69" t="s">
        <v>587</v>
      </c>
      <c r="H145" s="69" t="s">
        <v>587</v>
      </c>
      <c r="I145" s="69" t="s">
        <v>587</v>
      </c>
      <c r="J145" s="69" t="s">
        <v>587</v>
      </c>
      <c r="K145" s="69" t="s">
        <v>587</v>
      </c>
      <c r="L145" s="69" t="s">
        <v>587</v>
      </c>
      <c r="M145" s="61"/>
      <c r="N145" s="61"/>
      <c r="O145" s="61"/>
      <c r="P145" s="61"/>
      <c r="Q145" s="61"/>
      <c r="R145" s="61"/>
      <c r="S145" s="61"/>
    </row>
    <row r="146" spans="1:19" x14ac:dyDescent="0.25">
      <c r="A146" s="67" t="s">
        <v>9</v>
      </c>
      <c r="B146" s="67" t="s">
        <v>24</v>
      </c>
      <c r="C146" s="61"/>
      <c r="D146" s="60"/>
      <c r="E146" s="69" t="s">
        <v>842</v>
      </c>
      <c r="F146" s="69" t="s">
        <v>842</v>
      </c>
      <c r="G146" s="69" t="s">
        <v>588</v>
      </c>
      <c r="H146" s="69" t="s">
        <v>588</v>
      </c>
      <c r="I146" s="69" t="s">
        <v>588</v>
      </c>
      <c r="J146" s="69" t="s">
        <v>588</v>
      </c>
      <c r="K146" s="69" t="s">
        <v>588</v>
      </c>
      <c r="L146" s="69" t="s">
        <v>588</v>
      </c>
      <c r="M146" s="61"/>
      <c r="N146" s="61"/>
      <c r="O146" s="61"/>
      <c r="P146" s="61"/>
      <c r="Q146" s="61"/>
      <c r="R146" s="61"/>
      <c r="S146" s="61"/>
    </row>
    <row r="147" spans="1:19" x14ac:dyDescent="0.25">
      <c r="A147" s="67" t="s">
        <v>9</v>
      </c>
      <c r="B147" s="67" t="s">
        <v>24</v>
      </c>
      <c r="C147" s="61"/>
      <c r="D147" s="60"/>
      <c r="E147" s="69" t="s">
        <v>904</v>
      </c>
      <c r="F147" s="69" t="s">
        <v>904</v>
      </c>
      <c r="G147" s="69" t="s">
        <v>589</v>
      </c>
      <c r="H147" s="69" t="s">
        <v>589</v>
      </c>
      <c r="I147" s="69" t="s">
        <v>589</v>
      </c>
      <c r="J147" s="69" t="s">
        <v>589</v>
      </c>
      <c r="K147" s="69" t="s">
        <v>589</v>
      </c>
      <c r="L147" s="69" t="s">
        <v>589</v>
      </c>
      <c r="M147" s="61"/>
      <c r="N147" s="61"/>
      <c r="O147" s="61"/>
      <c r="P147" s="61"/>
      <c r="Q147" s="61"/>
      <c r="R147" s="61"/>
      <c r="S147" s="61"/>
    </row>
    <row r="148" spans="1:19" x14ac:dyDescent="0.25">
      <c r="A148" s="67" t="s">
        <v>9</v>
      </c>
      <c r="B148" s="67" t="s">
        <v>24</v>
      </c>
      <c r="C148" s="61"/>
      <c r="D148" s="60"/>
      <c r="E148" s="60"/>
      <c r="F148" s="60"/>
      <c r="G148" s="69" t="s">
        <v>590</v>
      </c>
      <c r="H148" s="69" t="s">
        <v>590</v>
      </c>
      <c r="I148" s="69" t="s">
        <v>590</v>
      </c>
      <c r="J148" s="69" t="s">
        <v>590</v>
      </c>
      <c r="K148" s="69" t="s">
        <v>590</v>
      </c>
      <c r="L148" s="69" t="s">
        <v>590</v>
      </c>
      <c r="M148" s="61"/>
      <c r="N148" s="61"/>
      <c r="O148" s="61"/>
      <c r="P148" s="61"/>
      <c r="Q148" s="61"/>
      <c r="R148" s="61"/>
      <c r="S148" s="61"/>
    </row>
    <row r="149" spans="1:19" x14ac:dyDescent="0.25">
      <c r="A149" s="67" t="s">
        <v>9</v>
      </c>
      <c r="B149" s="67" t="s">
        <v>24</v>
      </c>
      <c r="C149" s="61"/>
      <c r="D149" s="60"/>
      <c r="E149" s="60"/>
      <c r="F149" s="60"/>
      <c r="G149" s="69" t="s">
        <v>591</v>
      </c>
      <c r="H149" s="69" t="s">
        <v>591</v>
      </c>
      <c r="I149" s="69" t="s">
        <v>591</v>
      </c>
      <c r="J149" s="69" t="s">
        <v>591</v>
      </c>
      <c r="K149" s="69" t="s">
        <v>591</v>
      </c>
      <c r="L149" s="69" t="s">
        <v>591</v>
      </c>
      <c r="M149" s="61"/>
      <c r="N149" s="61"/>
      <c r="O149" s="61"/>
      <c r="P149" s="61"/>
      <c r="Q149" s="61"/>
      <c r="R149" s="61"/>
      <c r="S149" s="61"/>
    </row>
    <row r="150" spans="1:19" x14ac:dyDescent="0.25">
      <c r="A150" s="67" t="s">
        <v>9</v>
      </c>
      <c r="B150" s="67" t="s">
        <v>24</v>
      </c>
      <c r="C150" s="61"/>
      <c r="D150" s="60"/>
      <c r="E150" s="60"/>
      <c r="F150" s="60"/>
      <c r="G150" s="69" t="s">
        <v>592</v>
      </c>
      <c r="H150" s="69" t="s">
        <v>592</v>
      </c>
      <c r="I150" s="69" t="s">
        <v>592</v>
      </c>
      <c r="J150" s="69" t="s">
        <v>592</v>
      </c>
      <c r="K150" s="69" t="s">
        <v>592</v>
      </c>
      <c r="L150" s="69" t="s">
        <v>592</v>
      </c>
      <c r="M150" s="61"/>
      <c r="N150" s="61"/>
      <c r="O150" s="61"/>
      <c r="P150" s="61"/>
      <c r="Q150" s="61"/>
      <c r="R150" s="61"/>
      <c r="S150" s="61"/>
    </row>
    <row r="151" spans="1:19" x14ac:dyDescent="0.25">
      <c r="A151" s="67" t="s">
        <v>9</v>
      </c>
      <c r="B151" s="67" t="s">
        <v>24</v>
      </c>
      <c r="C151" s="61"/>
      <c r="D151" s="60"/>
      <c r="E151" s="60"/>
      <c r="F151" s="60"/>
      <c r="G151" s="69" t="s">
        <v>593</v>
      </c>
      <c r="H151" s="69" t="s">
        <v>593</v>
      </c>
      <c r="I151" s="69" t="s">
        <v>593</v>
      </c>
      <c r="J151" s="69" t="s">
        <v>593</v>
      </c>
      <c r="K151" s="69" t="s">
        <v>593</v>
      </c>
      <c r="L151" s="69" t="s">
        <v>593</v>
      </c>
      <c r="M151" s="61"/>
      <c r="N151" s="61"/>
      <c r="O151" s="61"/>
      <c r="P151" s="61"/>
      <c r="Q151" s="61"/>
      <c r="R151" s="61"/>
      <c r="S151" s="61"/>
    </row>
    <row r="152" spans="1:19" x14ac:dyDescent="0.25">
      <c r="A152" s="67" t="s">
        <v>9</v>
      </c>
      <c r="B152" s="67" t="s">
        <v>24</v>
      </c>
      <c r="C152" s="61"/>
      <c r="D152" s="60"/>
      <c r="E152" s="60"/>
      <c r="F152" s="60"/>
      <c r="G152" s="69" t="s">
        <v>682</v>
      </c>
      <c r="H152" s="69" t="s">
        <v>682</v>
      </c>
      <c r="I152" s="69" t="s">
        <v>682</v>
      </c>
      <c r="J152" s="69" t="s">
        <v>682</v>
      </c>
      <c r="K152" s="69" t="s">
        <v>682</v>
      </c>
      <c r="L152" s="69" t="s">
        <v>682</v>
      </c>
      <c r="M152" s="61"/>
      <c r="N152" s="61"/>
      <c r="O152" s="61"/>
      <c r="P152" s="61"/>
      <c r="Q152" s="61"/>
      <c r="R152" s="61"/>
      <c r="S152" s="61"/>
    </row>
    <row r="153" spans="1:19" x14ac:dyDescent="0.25">
      <c r="A153" s="67" t="s">
        <v>9</v>
      </c>
      <c r="B153" s="67" t="s">
        <v>24</v>
      </c>
      <c r="C153" s="61"/>
      <c r="D153" s="60"/>
      <c r="E153" s="60"/>
      <c r="F153" s="60"/>
      <c r="G153" s="69" t="s">
        <v>801</v>
      </c>
      <c r="H153" s="69" t="s">
        <v>801</v>
      </c>
      <c r="I153" s="69" t="s">
        <v>801</v>
      </c>
      <c r="J153" s="69" t="s">
        <v>801</v>
      </c>
      <c r="K153" s="69" t="s">
        <v>801</v>
      </c>
      <c r="L153" s="69" t="s">
        <v>801</v>
      </c>
      <c r="M153" s="61"/>
      <c r="N153" s="61"/>
      <c r="O153" s="61"/>
      <c r="P153" s="61"/>
      <c r="Q153" s="61"/>
      <c r="R153" s="61"/>
      <c r="S153" s="61"/>
    </row>
    <row r="154" spans="1:19" x14ac:dyDescent="0.25">
      <c r="A154" s="67" t="s">
        <v>9</v>
      </c>
      <c r="B154" s="67" t="s">
        <v>24</v>
      </c>
      <c r="C154" s="61"/>
      <c r="D154" s="60"/>
      <c r="E154" s="60"/>
      <c r="F154" s="60"/>
      <c r="G154" s="69" t="s">
        <v>802</v>
      </c>
      <c r="H154" s="69" t="s">
        <v>802</v>
      </c>
      <c r="I154" s="69" t="s">
        <v>802</v>
      </c>
      <c r="J154" s="69" t="s">
        <v>802</v>
      </c>
      <c r="K154" s="69" t="s">
        <v>802</v>
      </c>
      <c r="L154" s="69" t="s">
        <v>802</v>
      </c>
      <c r="M154" s="61"/>
      <c r="N154" s="61"/>
      <c r="O154" s="61"/>
      <c r="P154" s="61"/>
      <c r="Q154" s="61"/>
      <c r="R154" s="61"/>
      <c r="S154" s="61"/>
    </row>
    <row r="155" spans="1:19" x14ac:dyDescent="0.25">
      <c r="A155" s="67" t="s">
        <v>9</v>
      </c>
      <c r="B155" s="67" t="s">
        <v>24</v>
      </c>
      <c r="C155" s="61"/>
      <c r="D155" s="60"/>
      <c r="E155" s="60"/>
      <c r="F155" s="60"/>
      <c r="G155" s="69" t="s">
        <v>803</v>
      </c>
      <c r="H155" s="69" t="s">
        <v>803</v>
      </c>
      <c r="I155" s="69" t="s">
        <v>803</v>
      </c>
      <c r="J155" s="69" t="s">
        <v>803</v>
      </c>
      <c r="K155" s="69" t="s">
        <v>803</v>
      </c>
      <c r="L155" s="69" t="s">
        <v>803</v>
      </c>
      <c r="M155" s="61"/>
      <c r="N155" s="61"/>
      <c r="O155" s="61"/>
      <c r="P155" s="61"/>
      <c r="Q155" s="61"/>
      <c r="R155" s="61"/>
      <c r="S155" s="61"/>
    </row>
    <row r="156" spans="1:19" x14ac:dyDescent="0.25">
      <c r="A156" s="67" t="s">
        <v>9</v>
      </c>
      <c r="B156" s="67" t="s">
        <v>24</v>
      </c>
      <c r="C156" s="61"/>
      <c r="D156" s="60"/>
      <c r="E156" s="60"/>
      <c r="F156" s="60"/>
      <c r="G156" s="69" t="s">
        <v>804</v>
      </c>
      <c r="H156" s="69" t="s">
        <v>804</v>
      </c>
      <c r="I156" s="69" t="s">
        <v>804</v>
      </c>
      <c r="J156" s="69" t="s">
        <v>804</v>
      </c>
      <c r="K156" s="69" t="s">
        <v>804</v>
      </c>
      <c r="L156" s="69" t="s">
        <v>804</v>
      </c>
      <c r="M156" s="61"/>
      <c r="N156" s="61"/>
      <c r="O156" s="61"/>
      <c r="P156" s="61"/>
      <c r="Q156" s="61"/>
      <c r="R156" s="61"/>
      <c r="S156" s="61"/>
    </row>
    <row r="157" spans="1:19" x14ac:dyDescent="0.25">
      <c r="A157" s="67" t="s">
        <v>9</v>
      </c>
      <c r="B157" s="67" t="s">
        <v>24</v>
      </c>
      <c r="C157" s="61"/>
      <c r="D157" s="60"/>
      <c r="E157" s="60"/>
      <c r="F157" s="60"/>
      <c r="G157" s="69" t="s">
        <v>805</v>
      </c>
      <c r="H157" s="69" t="s">
        <v>805</v>
      </c>
      <c r="I157" s="69" t="s">
        <v>805</v>
      </c>
      <c r="J157" s="69" t="s">
        <v>805</v>
      </c>
      <c r="K157" s="69" t="s">
        <v>805</v>
      </c>
      <c r="L157" s="69" t="s">
        <v>805</v>
      </c>
      <c r="M157" s="61"/>
      <c r="N157" s="61"/>
      <c r="O157" s="61"/>
      <c r="P157" s="61"/>
      <c r="Q157" s="61"/>
      <c r="R157" s="61"/>
      <c r="S157" s="61"/>
    </row>
    <row r="158" spans="1:19" x14ac:dyDescent="0.25">
      <c r="A158" s="67" t="s">
        <v>9</v>
      </c>
      <c r="B158" s="67" t="s">
        <v>24</v>
      </c>
      <c r="C158" s="61"/>
      <c r="D158" s="60"/>
      <c r="E158" s="60"/>
      <c r="F158" s="60"/>
      <c r="G158" s="69" t="s">
        <v>806</v>
      </c>
      <c r="H158" s="69" t="s">
        <v>806</v>
      </c>
      <c r="I158" s="69" t="s">
        <v>806</v>
      </c>
      <c r="J158" s="69" t="s">
        <v>806</v>
      </c>
      <c r="K158" s="69" t="s">
        <v>806</v>
      </c>
      <c r="L158" s="69" t="s">
        <v>806</v>
      </c>
      <c r="M158" s="61"/>
      <c r="N158" s="61"/>
      <c r="O158" s="61"/>
      <c r="P158" s="61"/>
      <c r="Q158" s="61"/>
      <c r="R158" s="61"/>
      <c r="S158" s="61"/>
    </row>
    <row r="159" spans="1:19" x14ac:dyDescent="0.25">
      <c r="A159" s="67" t="s">
        <v>9</v>
      </c>
      <c r="B159" s="67" t="s">
        <v>24</v>
      </c>
      <c r="C159" s="61"/>
      <c r="D159" s="60"/>
      <c r="E159" s="60"/>
      <c r="F159" s="60"/>
      <c r="G159" s="69" t="s">
        <v>807</v>
      </c>
      <c r="H159" s="69" t="s">
        <v>807</v>
      </c>
      <c r="I159" s="69" t="s">
        <v>807</v>
      </c>
      <c r="J159" s="69" t="s">
        <v>807</v>
      </c>
      <c r="K159" s="69" t="s">
        <v>807</v>
      </c>
      <c r="L159" s="69" t="s">
        <v>807</v>
      </c>
      <c r="M159" s="61"/>
      <c r="N159" s="61"/>
      <c r="O159" s="61"/>
      <c r="P159" s="61"/>
      <c r="Q159" s="61"/>
      <c r="R159" s="61"/>
      <c r="S159" s="61"/>
    </row>
    <row r="160" spans="1:19" x14ac:dyDescent="0.25">
      <c r="A160" s="67" t="s">
        <v>9</v>
      </c>
      <c r="B160" s="67" t="s">
        <v>24</v>
      </c>
      <c r="C160" s="61"/>
      <c r="D160" s="60"/>
      <c r="E160" s="60"/>
      <c r="F160" s="60"/>
      <c r="G160" s="69" t="s">
        <v>808</v>
      </c>
      <c r="H160" s="69" t="s">
        <v>808</v>
      </c>
      <c r="I160" s="69" t="s">
        <v>808</v>
      </c>
      <c r="J160" s="69" t="s">
        <v>808</v>
      </c>
      <c r="K160" s="69" t="s">
        <v>808</v>
      </c>
      <c r="L160" s="69" t="s">
        <v>808</v>
      </c>
      <c r="M160" s="61"/>
      <c r="N160" s="61"/>
      <c r="O160" s="61"/>
      <c r="P160" s="61"/>
      <c r="Q160" s="61"/>
      <c r="R160" s="61"/>
      <c r="S160" s="61"/>
    </row>
    <row r="161" spans="1:19" x14ac:dyDescent="0.25">
      <c r="A161" s="67" t="s">
        <v>9</v>
      </c>
      <c r="B161" s="67" t="s">
        <v>24</v>
      </c>
      <c r="C161" s="61"/>
      <c r="D161" s="60"/>
      <c r="E161" s="60"/>
      <c r="F161" s="60"/>
      <c r="G161" s="69" t="s">
        <v>809</v>
      </c>
      <c r="H161" s="69" t="s">
        <v>809</v>
      </c>
      <c r="I161" s="69" t="s">
        <v>809</v>
      </c>
      <c r="J161" s="69" t="s">
        <v>809</v>
      </c>
      <c r="K161" s="69" t="s">
        <v>809</v>
      </c>
      <c r="L161" s="69" t="s">
        <v>809</v>
      </c>
      <c r="M161" s="61"/>
      <c r="N161" s="61"/>
      <c r="O161" s="61"/>
      <c r="P161" s="61"/>
      <c r="Q161" s="61"/>
      <c r="R161" s="61"/>
      <c r="S161" s="61"/>
    </row>
    <row r="162" spans="1:19" x14ac:dyDescent="0.25">
      <c r="A162" s="67" t="s">
        <v>9</v>
      </c>
      <c r="B162" s="67" t="s">
        <v>24</v>
      </c>
      <c r="C162" s="61"/>
      <c r="D162" s="60"/>
      <c r="E162" s="60"/>
      <c r="F162" s="60"/>
      <c r="G162" s="69" t="s">
        <v>810</v>
      </c>
      <c r="H162" s="69" t="s">
        <v>810</v>
      </c>
      <c r="I162" s="69" t="s">
        <v>810</v>
      </c>
      <c r="J162" s="69" t="s">
        <v>810</v>
      </c>
      <c r="K162" s="69" t="s">
        <v>810</v>
      </c>
      <c r="L162" s="69" t="s">
        <v>810</v>
      </c>
      <c r="M162" s="61"/>
      <c r="N162" s="61"/>
      <c r="O162" s="61"/>
      <c r="P162" s="61"/>
      <c r="Q162" s="61"/>
      <c r="R162" s="61"/>
      <c r="S162" s="61"/>
    </row>
    <row r="163" spans="1:19" x14ac:dyDescent="0.25">
      <c r="A163" s="67" t="s">
        <v>9</v>
      </c>
      <c r="B163" s="67" t="s">
        <v>24</v>
      </c>
      <c r="C163" s="61"/>
      <c r="D163" s="60"/>
      <c r="E163" s="60"/>
      <c r="F163" s="60"/>
      <c r="G163" s="69" t="s">
        <v>811</v>
      </c>
      <c r="H163" s="69" t="s">
        <v>811</v>
      </c>
      <c r="I163" s="69" t="s">
        <v>811</v>
      </c>
      <c r="J163" s="69" t="s">
        <v>811</v>
      </c>
      <c r="K163" s="69" t="s">
        <v>811</v>
      </c>
      <c r="L163" s="69" t="s">
        <v>811</v>
      </c>
      <c r="M163" s="61"/>
      <c r="N163" s="61"/>
      <c r="O163" s="61"/>
      <c r="P163" s="61"/>
      <c r="Q163" s="61"/>
      <c r="R163" s="61"/>
      <c r="S163" s="61"/>
    </row>
    <row r="164" spans="1:19" x14ac:dyDescent="0.25">
      <c r="A164" s="67" t="s">
        <v>9</v>
      </c>
      <c r="B164" s="67" t="s">
        <v>24</v>
      </c>
      <c r="C164" s="61"/>
      <c r="D164" s="60"/>
      <c r="E164" s="60"/>
      <c r="F164" s="60"/>
      <c r="G164" s="69" t="s">
        <v>812</v>
      </c>
      <c r="H164" s="69" t="s">
        <v>812</v>
      </c>
      <c r="I164" s="69" t="s">
        <v>812</v>
      </c>
      <c r="J164" s="69" t="s">
        <v>812</v>
      </c>
      <c r="K164" s="69" t="s">
        <v>812</v>
      </c>
      <c r="L164" s="69" t="s">
        <v>812</v>
      </c>
      <c r="M164" s="61"/>
      <c r="N164" s="61"/>
      <c r="O164" s="61"/>
      <c r="P164" s="61"/>
      <c r="Q164" s="61"/>
      <c r="R164" s="61"/>
      <c r="S164" s="61"/>
    </row>
    <row r="165" spans="1:19" x14ac:dyDescent="0.25">
      <c r="A165" s="67" t="s">
        <v>9</v>
      </c>
      <c r="B165" s="67" t="s">
        <v>24</v>
      </c>
      <c r="C165" s="61"/>
      <c r="D165" s="60"/>
      <c r="E165" s="60"/>
      <c r="F165" s="60"/>
      <c r="G165" s="69" t="s">
        <v>813</v>
      </c>
      <c r="H165" s="69" t="s">
        <v>813</v>
      </c>
      <c r="I165" s="69" t="s">
        <v>813</v>
      </c>
      <c r="J165" s="69" t="s">
        <v>813</v>
      </c>
      <c r="K165" s="69" t="s">
        <v>813</v>
      </c>
      <c r="L165" s="69" t="s">
        <v>813</v>
      </c>
      <c r="M165" s="61"/>
      <c r="N165" s="61"/>
      <c r="O165" s="61"/>
      <c r="P165" s="61"/>
      <c r="Q165" s="61"/>
      <c r="R165" s="61"/>
      <c r="S165" s="61"/>
    </row>
    <row r="166" spans="1:19" x14ac:dyDescent="0.25">
      <c r="A166" s="67" t="s">
        <v>9</v>
      </c>
      <c r="B166" s="67" t="s">
        <v>24</v>
      </c>
      <c r="C166" s="61"/>
      <c r="D166" s="60"/>
      <c r="E166" s="60"/>
      <c r="F166" s="60"/>
      <c r="G166" s="69" t="s">
        <v>814</v>
      </c>
      <c r="H166" s="69" t="s">
        <v>814</v>
      </c>
      <c r="I166" s="69" t="s">
        <v>814</v>
      </c>
      <c r="J166" s="69" t="s">
        <v>814</v>
      </c>
      <c r="K166" s="69" t="s">
        <v>814</v>
      </c>
      <c r="L166" s="69" t="s">
        <v>814</v>
      </c>
      <c r="M166" s="61"/>
      <c r="N166" s="61"/>
      <c r="O166" s="61"/>
      <c r="P166" s="61"/>
      <c r="Q166" s="61"/>
      <c r="R166" s="61"/>
      <c r="S166" s="61"/>
    </row>
    <row r="167" spans="1:19" x14ac:dyDescent="0.25">
      <c r="A167" s="67" t="s">
        <v>9</v>
      </c>
      <c r="B167" s="67" t="s">
        <v>24</v>
      </c>
      <c r="C167" s="61"/>
      <c r="D167" s="60"/>
      <c r="E167" s="60"/>
      <c r="F167" s="60"/>
      <c r="G167" s="69" t="s">
        <v>815</v>
      </c>
      <c r="H167" s="69" t="s">
        <v>815</v>
      </c>
      <c r="I167" s="69" t="s">
        <v>815</v>
      </c>
      <c r="J167" s="69" t="s">
        <v>815</v>
      </c>
      <c r="K167" s="69" t="s">
        <v>815</v>
      </c>
      <c r="L167" s="69" t="s">
        <v>815</v>
      </c>
      <c r="M167" s="61"/>
      <c r="N167" s="61"/>
      <c r="O167" s="61"/>
      <c r="P167" s="61"/>
      <c r="Q167" s="61"/>
      <c r="R167" s="61"/>
      <c r="S167" s="61"/>
    </row>
    <row r="168" spans="1:19" x14ac:dyDescent="0.25">
      <c r="A168" s="67" t="s">
        <v>9</v>
      </c>
      <c r="B168" s="67" t="s">
        <v>24</v>
      </c>
      <c r="C168" s="61"/>
      <c r="D168" s="60"/>
      <c r="E168" s="60"/>
      <c r="F168" s="60"/>
      <c r="G168" s="69" t="s">
        <v>816</v>
      </c>
      <c r="H168" s="69" t="s">
        <v>816</v>
      </c>
      <c r="I168" s="69" t="s">
        <v>816</v>
      </c>
      <c r="J168" s="69" t="s">
        <v>816</v>
      </c>
      <c r="K168" s="69" t="s">
        <v>816</v>
      </c>
      <c r="L168" s="69" t="s">
        <v>816</v>
      </c>
      <c r="M168" s="61"/>
      <c r="N168" s="61"/>
      <c r="O168" s="61"/>
      <c r="P168" s="61"/>
      <c r="Q168" s="61"/>
      <c r="R168" s="61"/>
      <c r="S168" s="61"/>
    </row>
    <row r="169" spans="1:19" x14ac:dyDescent="0.25">
      <c r="A169" s="67" t="s">
        <v>9</v>
      </c>
      <c r="B169" s="67" t="s">
        <v>24</v>
      </c>
      <c r="C169" s="61"/>
      <c r="D169" s="60"/>
      <c r="E169" s="60"/>
      <c r="F169" s="60"/>
      <c r="G169" s="69" t="s">
        <v>817</v>
      </c>
      <c r="H169" s="69" t="s">
        <v>817</v>
      </c>
      <c r="I169" s="69" t="s">
        <v>817</v>
      </c>
      <c r="J169" s="69" t="s">
        <v>817</v>
      </c>
      <c r="K169" s="69" t="s">
        <v>817</v>
      </c>
      <c r="L169" s="69" t="s">
        <v>817</v>
      </c>
      <c r="M169" s="61"/>
      <c r="N169" s="61"/>
      <c r="O169" s="61"/>
      <c r="P169" s="61"/>
      <c r="Q169" s="61"/>
      <c r="R169" s="61"/>
      <c r="S169" s="61"/>
    </row>
    <row r="170" spans="1:19" x14ac:dyDescent="0.25">
      <c r="A170" s="67" t="s">
        <v>9</v>
      </c>
      <c r="B170" s="67" t="s">
        <v>24</v>
      </c>
      <c r="C170" s="61"/>
      <c r="D170" s="60"/>
      <c r="E170" s="60"/>
      <c r="F170" s="60"/>
      <c r="G170" s="69" t="s">
        <v>818</v>
      </c>
      <c r="H170" s="69" t="s">
        <v>818</v>
      </c>
      <c r="I170" s="69" t="s">
        <v>818</v>
      </c>
      <c r="J170" s="69" t="s">
        <v>818</v>
      </c>
      <c r="K170" s="69" t="s">
        <v>818</v>
      </c>
      <c r="L170" s="69" t="s">
        <v>818</v>
      </c>
      <c r="M170" s="61"/>
      <c r="N170" s="61"/>
      <c r="O170" s="61"/>
      <c r="P170" s="61"/>
      <c r="Q170" s="61"/>
      <c r="R170" s="61"/>
      <c r="S170" s="61"/>
    </row>
    <row r="171" spans="1:19" x14ac:dyDescent="0.25">
      <c r="A171" s="67" t="s">
        <v>9</v>
      </c>
      <c r="B171" s="67" t="s">
        <v>24</v>
      </c>
      <c r="C171" s="61"/>
      <c r="D171" s="60"/>
      <c r="E171" s="60"/>
      <c r="F171" s="60"/>
      <c r="G171" s="69" t="s">
        <v>819</v>
      </c>
      <c r="H171" s="69" t="s">
        <v>819</v>
      </c>
      <c r="I171" s="69" t="s">
        <v>819</v>
      </c>
      <c r="J171" s="69" t="s">
        <v>819</v>
      </c>
      <c r="K171" s="69" t="s">
        <v>819</v>
      </c>
      <c r="L171" s="69" t="s">
        <v>819</v>
      </c>
      <c r="M171" s="61"/>
      <c r="N171" s="61"/>
      <c r="O171" s="61"/>
      <c r="P171" s="61"/>
      <c r="Q171" s="61"/>
      <c r="R171" s="61"/>
      <c r="S171" s="61"/>
    </row>
    <row r="172" spans="1:19" x14ac:dyDescent="0.25">
      <c r="A172" s="67" t="s">
        <v>9</v>
      </c>
      <c r="B172" s="67" t="s">
        <v>24</v>
      </c>
      <c r="C172" s="61"/>
      <c r="D172" s="60"/>
      <c r="E172" s="60"/>
      <c r="F172" s="60"/>
      <c r="G172" s="69" t="s">
        <v>820</v>
      </c>
      <c r="H172" s="69" t="s">
        <v>820</v>
      </c>
      <c r="I172" s="69" t="s">
        <v>820</v>
      </c>
      <c r="J172" s="69" t="s">
        <v>820</v>
      </c>
      <c r="K172" s="69" t="s">
        <v>820</v>
      </c>
      <c r="L172" s="69" t="s">
        <v>820</v>
      </c>
      <c r="M172" s="61"/>
      <c r="N172" s="61"/>
      <c r="O172" s="61"/>
      <c r="P172" s="61"/>
      <c r="Q172" s="61"/>
      <c r="R172" s="61"/>
      <c r="S172" s="61"/>
    </row>
    <row r="173" spans="1:19" x14ac:dyDescent="0.25">
      <c r="A173" s="67" t="s">
        <v>9</v>
      </c>
      <c r="B173" s="67" t="s">
        <v>24</v>
      </c>
      <c r="C173" s="61"/>
      <c r="D173" s="60"/>
      <c r="E173" s="60"/>
      <c r="F173" s="60"/>
      <c r="G173" s="69" t="s">
        <v>821</v>
      </c>
      <c r="H173" s="69" t="s">
        <v>821</v>
      </c>
      <c r="I173" s="69" t="s">
        <v>821</v>
      </c>
      <c r="J173" s="69" t="s">
        <v>821</v>
      </c>
      <c r="K173" s="69" t="s">
        <v>821</v>
      </c>
      <c r="L173" s="69" t="s">
        <v>821</v>
      </c>
      <c r="M173" s="61"/>
      <c r="N173" s="61"/>
      <c r="O173" s="61"/>
      <c r="P173" s="61"/>
      <c r="Q173" s="61"/>
      <c r="R173" s="61"/>
      <c r="S173" s="61"/>
    </row>
    <row r="174" spans="1:19" x14ac:dyDescent="0.25">
      <c r="A174" s="67" t="s">
        <v>9</v>
      </c>
      <c r="B174" s="67" t="s">
        <v>24</v>
      </c>
      <c r="C174" s="61"/>
      <c r="D174" s="60"/>
      <c r="E174" s="60"/>
      <c r="F174" s="60"/>
      <c r="G174" s="69" t="s">
        <v>822</v>
      </c>
      <c r="H174" s="69" t="s">
        <v>822</v>
      </c>
      <c r="I174" s="69" t="s">
        <v>822</v>
      </c>
      <c r="J174" s="69" t="s">
        <v>822</v>
      </c>
      <c r="K174" s="69" t="s">
        <v>822</v>
      </c>
      <c r="L174" s="69" t="s">
        <v>822</v>
      </c>
      <c r="M174" s="61"/>
      <c r="N174" s="61"/>
      <c r="O174" s="61"/>
      <c r="P174" s="61"/>
      <c r="Q174" s="61"/>
      <c r="R174" s="61"/>
      <c r="S174" s="61"/>
    </row>
    <row r="175" spans="1:19" x14ac:dyDescent="0.25">
      <c r="A175" s="67" t="s">
        <v>9</v>
      </c>
      <c r="B175" s="67" t="s">
        <v>24</v>
      </c>
      <c r="C175" s="61"/>
      <c r="D175" s="60"/>
      <c r="E175" s="60"/>
      <c r="F175" s="60"/>
      <c r="G175" s="69" t="s">
        <v>823</v>
      </c>
      <c r="H175" s="69" t="s">
        <v>823</v>
      </c>
      <c r="I175" s="69" t="s">
        <v>823</v>
      </c>
      <c r="J175" s="69" t="s">
        <v>823</v>
      </c>
      <c r="K175" s="69" t="s">
        <v>823</v>
      </c>
      <c r="L175" s="69" t="s">
        <v>823</v>
      </c>
      <c r="M175" s="61"/>
      <c r="N175" s="61"/>
      <c r="O175" s="61"/>
      <c r="P175" s="61"/>
      <c r="Q175" s="61"/>
      <c r="R175" s="61"/>
      <c r="S175" s="61"/>
    </row>
    <row r="176" spans="1:19" x14ac:dyDescent="0.25">
      <c r="A176" s="67" t="s">
        <v>9</v>
      </c>
      <c r="B176" s="67" t="s">
        <v>24</v>
      </c>
      <c r="C176" s="61"/>
      <c r="D176" s="60"/>
      <c r="E176" s="60"/>
      <c r="F176" s="60"/>
      <c r="G176" s="69" t="s">
        <v>824</v>
      </c>
      <c r="H176" s="69" t="s">
        <v>824</v>
      </c>
      <c r="I176" s="69" t="s">
        <v>824</v>
      </c>
      <c r="J176" s="69" t="s">
        <v>824</v>
      </c>
      <c r="K176" s="69" t="s">
        <v>824</v>
      </c>
      <c r="L176" s="69" t="s">
        <v>824</v>
      </c>
      <c r="M176" s="61"/>
      <c r="N176" s="61"/>
      <c r="O176" s="61"/>
      <c r="P176" s="61"/>
      <c r="Q176" s="61"/>
      <c r="R176" s="61"/>
      <c r="S176" s="61"/>
    </row>
    <row r="177" spans="1:19" x14ac:dyDescent="0.25">
      <c r="A177" s="67" t="s">
        <v>9</v>
      </c>
      <c r="B177" s="67" t="s">
        <v>24</v>
      </c>
      <c r="C177" s="61"/>
      <c r="D177" s="60"/>
      <c r="E177" s="60"/>
      <c r="F177" s="60"/>
      <c r="G177" s="69" t="s">
        <v>825</v>
      </c>
      <c r="H177" s="69" t="s">
        <v>825</v>
      </c>
      <c r="I177" s="69" t="s">
        <v>825</v>
      </c>
      <c r="J177" s="69" t="s">
        <v>825</v>
      </c>
      <c r="K177" s="69" t="s">
        <v>825</v>
      </c>
      <c r="L177" s="69" t="s">
        <v>825</v>
      </c>
      <c r="M177" s="61"/>
      <c r="N177" s="61"/>
      <c r="O177" s="61"/>
      <c r="P177" s="61"/>
      <c r="Q177" s="61"/>
      <c r="R177" s="61"/>
      <c r="S177" s="61"/>
    </row>
    <row r="178" spans="1:19" x14ac:dyDescent="0.25">
      <c r="A178" s="67" t="s">
        <v>9</v>
      </c>
      <c r="B178" s="67" t="s">
        <v>24</v>
      </c>
      <c r="C178" s="61"/>
      <c r="D178" s="60"/>
      <c r="E178" s="60"/>
      <c r="F178" s="60"/>
      <c r="G178" s="69" t="s">
        <v>842</v>
      </c>
      <c r="H178" s="69" t="s">
        <v>842</v>
      </c>
      <c r="I178" s="69" t="s">
        <v>842</v>
      </c>
      <c r="J178" s="69" t="s">
        <v>842</v>
      </c>
      <c r="K178" s="69" t="s">
        <v>842</v>
      </c>
      <c r="L178" s="69" t="s">
        <v>842</v>
      </c>
      <c r="M178" s="61"/>
      <c r="N178" s="61"/>
      <c r="O178" s="61"/>
      <c r="P178" s="61"/>
      <c r="Q178" s="61"/>
      <c r="R178" s="61"/>
      <c r="S178" s="61"/>
    </row>
  </sheetData>
  <sheetProtection selectLockedCells="1"/>
  <autoFilter ref="A1:R178"/>
  <dataConsolidate/>
  <dataValidations count="17">
    <dataValidation type="list" allowBlank="1" showInputMessage="1" showErrorMessage="1" sqref="M3">
      <formula1>"MCARE, MCAID, DUAL, ACA"</formula1>
    </dataValidation>
    <dataValidation type="list" allowBlank="1" showInputMessage="1" showErrorMessage="1" sqref="M62:S62">
      <formula1>"TIN, DEC, NETWORKID, GROUPID"</formula1>
    </dataValidation>
    <dataValidation type="list" allowBlank="1" showInputMessage="1" showErrorMessage="1" sqref="M28:S28">
      <formula1>"M, F, U, "</formula1>
    </dataValidation>
    <dataValidation type="list" allowBlank="1" showInputMessage="1" showErrorMessage="1" sqref="M56:S56 M70:S70 M107:S107">
      <formula1>"Y,N, "</formula1>
    </dataValidation>
    <dataValidation type="list" allowBlank="1" showInputMessage="1" showErrorMessage="1" sqref="M109:S110">
      <formula1>"1,2,3"</formula1>
    </dataValidation>
    <dataValidation type="list" allowBlank="1" showInputMessage="1" showErrorMessage="1" sqref="M25:S25">
      <formula1>HEALTHPLANS</formula1>
    </dataValidation>
    <dataValidation type="list" allowBlank="1" showInputMessage="1" showErrorMessage="1" sqref="M26">
      <formula1>INDIRECT(SUBSTITUTE(SUBSTITUTE($M$25, " ", ""), "-", ""))</formula1>
    </dataValidation>
    <dataValidation type="list" allowBlank="1" showInputMessage="1" showErrorMessage="1" sqref="M47:S47 M77:S77 M85:S85 M93:S93 M27:S27">
      <formula1>"AL,AK,AZ,AR,CA,CO,CT,DE,DC,FL,GA,HI,ID,IL,IN,IA,KS,KY,LA,ME,MD,MA,MI,MN,MS,MO,MT,NE,NV,NH,NJ,NM,NY,NC,ND,OH,OK,OR,PA,RI,SC,SD,TN,TX,UT,VT,VA,WA,WV,WI,WY,PR"</formula1>
    </dataValidation>
    <dataValidation type="list" allowBlank="1" showInputMessage="1" showErrorMessage="1" sqref="M52:S52">
      <formula1>"SNF, HOSP, HOSP/PROF, PROF, PROF/MED"</formula1>
    </dataValidation>
    <dataValidation type="list" allowBlank="1" showInputMessage="1" showErrorMessage="1" sqref="N26">
      <formula1>INDIRECT(SUBSTITUTE(SUBSTITUTE($N$25, " ", ""), "-", ""))</formula1>
    </dataValidation>
    <dataValidation type="list" showErrorMessage="1" errorTitle="!!Field Selection Invalid!!" error="Only Fields to be selected are 'Have' &amp; 'Don't Have'" sqref="B2:B178">
      <formula1>"Have, Don't Have"</formula1>
    </dataValidation>
    <dataValidation type="list" allowBlank="1" showInputMessage="1" showErrorMessage="1" sqref="O26">
      <formula1>INDIRECT(SUBSTITUTE(SUBSTITUTE($O$25, " ", ""), "-", ""))</formula1>
    </dataValidation>
    <dataValidation type="list" allowBlank="1" showInputMessage="1" showErrorMessage="1" sqref="S26">
      <formula1>INDIRECT(SUBSTITUTE(SUBSTITUTE($S$25, " ", ""), "-", ""))</formula1>
    </dataValidation>
    <dataValidation type="list" allowBlank="1" showInputMessage="1" showErrorMessage="1" sqref="P26">
      <formula1>INDIRECT(SUBSTITUTE(SUBSTITUTE($P$25, " ", ""), "-", ""))</formula1>
    </dataValidation>
    <dataValidation type="list" allowBlank="1" showInputMessage="1" showErrorMessage="1" sqref="Q26">
      <formula1>INDIRECT(SUBSTITUTE(SUBSTITUTE($Q$25, " ", ""), "-", ""))</formula1>
    </dataValidation>
    <dataValidation type="list" allowBlank="1" showInputMessage="1" showErrorMessage="1" sqref="R26">
      <formula1>INDIRECT(SUBSTITUTE(SUBSTITUTE($R$25, " ", ""), "-", ""))</formula1>
    </dataValidation>
    <dataValidation type="list" allowBlank="1" showInputMessage="1" showErrorMessage="1" sqref="M15:S15">
      <formula1>"CR,HCR, PAF, HQPAF, HQCAPE, PAF_HQ, CAPE, STOR"</formula1>
    </dataValidation>
  </dataValidations>
  <hyperlinks>
    <hyperlink ref="M51" r:id="rId1"/>
    <hyperlink ref="N51" r:id="rId2"/>
    <hyperlink ref="O51" r:id="rId3"/>
    <hyperlink ref="P51" r:id="rId4"/>
    <hyperlink ref="Q51" r:id="rId5"/>
    <hyperlink ref="R51" r:id="rId6"/>
    <hyperlink ref="S51" r:id="rId7"/>
  </hyperlinks>
  <pageMargins left="0.7" right="0.7" top="0.75" bottom="0.75" header="0.3" footer="0.3"/>
  <pageSetup paperSize="9" orientation="portrait" r:id="rId8"/>
  <legacyDrawing r:id="rId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3"/>
  <sheetViews>
    <sheetView workbookViewId="0">
      <pane xSplit="3" ySplit="1" topLeftCell="D2" activePane="bottomRight" state="frozen"/>
      <selection activeCell="F15" sqref="F15"/>
      <selection pane="topRight" activeCell="F15" sqref="F15"/>
      <selection pane="bottomLeft" activeCell="F15" sqref="F15"/>
      <selection pane="bottomRight" activeCell="D17" sqref="D17"/>
    </sheetView>
  </sheetViews>
  <sheetFormatPr defaultRowHeight="15" x14ac:dyDescent="0.25"/>
  <cols>
    <col min="1" max="1" width="10.140625" customWidth="1"/>
    <col min="2" max="2" width="15.7109375" customWidth="1"/>
    <col min="3" max="3" width="23.7109375" customWidth="1"/>
    <col min="4" max="13" width="20.140625" customWidth="1"/>
  </cols>
  <sheetData>
    <row r="1" spans="1:13" x14ac:dyDescent="0.25">
      <c r="A1" s="8" t="s">
        <v>0</v>
      </c>
      <c r="B1" s="9" t="s">
        <v>23</v>
      </c>
      <c r="C1" s="8" t="s">
        <v>1</v>
      </c>
      <c r="D1" s="35" t="s">
        <v>149</v>
      </c>
      <c r="E1" s="8" t="s">
        <v>150</v>
      </c>
      <c r="F1" s="8" t="s">
        <v>151</v>
      </c>
      <c r="G1" s="8" t="s">
        <v>152</v>
      </c>
      <c r="H1" s="8" t="s">
        <v>153</v>
      </c>
      <c r="I1" s="8" t="s">
        <v>154</v>
      </c>
      <c r="J1" s="8" t="s">
        <v>155</v>
      </c>
      <c r="K1" s="8" t="s">
        <v>156</v>
      </c>
      <c r="L1" s="8" t="s">
        <v>157</v>
      </c>
      <c r="M1" s="8" t="s">
        <v>158</v>
      </c>
    </row>
    <row r="2" spans="1:13" x14ac:dyDescent="0.25">
      <c r="A2" s="4" t="s">
        <v>9</v>
      </c>
      <c r="B2" s="16" t="s">
        <v>24</v>
      </c>
      <c r="C2" s="2" t="s">
        <v>2</v>
      </c>
      <c r="D2" s="36" t="s">
        <v>9</v>
      </c>
      <c r="E2" s="11" t="s">
        <v>9</v>
      </c>
      <c r="F2" s="36" t="s">
        <v>9</v>
      </c>
      <c r="G2" s="11" t="s">
        <v>9</v>
      </c>
      <c r="H2" s="36" t="s">
        <v>9</v>
      </c>
      <c r="I2" s="11" t="s">
        <v>9</v>
      </c>
      <c r="J2" s="36" t="s">
        <v>9</v>
      </c>
      <c r="K2" s="11" t="s">
        <v>9</v>
      </c>
      <c r="L2" s="36" t="s">
        <v>9</v>
      </c>
      <c r="M2" s="11" t="s">
        <v>9</v>
      </c>
    </row>
    <row r="3" spans="1:13" s="53" customFormat="1" x14ac:dyDescent="0.25">
      <c r="A3" s="4" t="s">
        <v>9</v>
      </c>
      <c r="B3" s="16" t="s">
        <v>24</v>
      </c>
      <c r="C3" s="2" t="s">
        <v>127</v>
      </c>
      <c r="D3" s="52" t="s">
        <v>219</v>
      </c>
      <c r="E3" s="52" t="s">
        <v>219</v>
      </c>
      <c r="F3" s="52" t="s">
        <v>219</v>
      </c>
      <c r="G3" s="52" t="s">
        <v>219</v>
      </c>
      <c r="H3" s="52" t="s">
        <v>219</v>
      </c>
      <c r="I3" s="52" t="s">
        <v>219</v>
      </c>
      <c r="J3" s="52" t="s">
        <v>219</v>
      </c>
      <c r="K3" s="52" t="s">
        <v>219</v>
      </c>
      <c r="L3" s="52" t="s">
        <v>219</v>
      </c>
      <c r="M3" s="52" t="s">
        <v>219</v>
      </c>
    </row>
    <row r="4" spans="1:13" x14ac:dyDescent="0.25">
      <c r="A4" s="4" t="s">
        <v>9</v>
      </c>
      <c r="B4" s="16" t="s">
        <v>24</v>
      </c>
      <c r="C4" s="2" t="s">
        <v>128</v>
      </c>
      <c r="D4" s="36" t="s">
        <v>159</v>
      </c>
      <c r="E4" s="11" t="s">
        <v>160</v>
      </c>
      <c r="F4" s="36" t="s">
        <v>144</v>
      </c>
      <c r="G4" s="11" t="s">
        <v>161</v>
      </c>
      <c r="H4" s="36" t="s">
        <v>162</v>
      </c>
      <c r="I4" s="11" t="s">
        <v>163</v>
      </c>
      <c r="J4" s="36" t="s">
        <v>164</v>
      </c>
      <c r="K4" s="11" t="s">
        <v>165</v>
      </c>
      <c r="L4" s="36" t="s">
        <v>166</v>
      </c>
      <c r="M4" s="11" t="s">
        <v>167</v>
      </c>
    </row>
    <row r="5" spans="1:13" x14ac:dyDescent="0.25">
      <c r="A5" s="4" t="s">
        <v>9</v>
      </c>
      <c r="B5" s="16" t="s">
        <v>24</v>
      </c>
      <c r="C5" s="2" t="s">
        <v>129</v>
      </c>
      <c r="D5" s="34" t="s">
        <v>296</v>
      </c>
      <c r="E5" s="13" t="s">
        <v>301</v>
      </c>
      <c r="F5" s="34" t="s">
        <v>296</v>
      </c>
      <c r="G5" s="13" t="s">
        <v>296</v>
      </c>
      <c r="H5" s="34" t="s">
        <v>297</v>
      </c>
      <c r="I5" s="13" t="s">
        <v>302</v>
      </c>
      <c r="J5" s="34" t="s">
        <v>298</v>
      </c>
      <c r="K5" s="13" t="s">
        <v>300</v>
      </c>
      <c r="L5" s="34" t="s">
        <v>299</v>
      </c>
      <c r="M5" s="13" t="s">
        <v>303</v>
      </c>
    </row>
    <row r="6" spans="1:13" x14ac:dyDescent="0.25">
      <c r="A6" s="6" t="s">
        <v>9</v>
      </c>
      <c r="B6" s="16" t="s">
        <v>25</v>
      </c>
      <c r="C6" s="2" t="s">
        <v>130</v>
      </c>
      <c r="D6" s="36" t="s">
        <v>30</v>
      </c>
      <c r="E6" s="11" t="s">
        <v>30</v>
      </c>
      <c r="F6" s="36" t="s">
        <v>30</v>
      </c>
      <c r="G6" s="11" t="s">
        <v>30</v>
      </c>
      <c r="H6" s="36" t="s">
        <v>30</v>
      </c>
      <c r="I6" s="11" t="s">
        <v>30</v>
      </c>
      <c r="J6" s="36" t="s">
        <v>30</v>
      </c>
      <c r="K6" s="11" t="s">
        <v>30</v>
      </c>
      <c r="L6" s="36" t="s">
        <v>30</v>
      </c>
      <c r="M6" s="11" t="s">
        <v>30</v>
      </c>
    </row>
    <row r="7" spans="1:13" x14ac:dyDescent="0.25">
      <c r="A7" s="6" t="s">
        <v>9</v>
      </c>
      <c r="B7" s="16" t="s">
        <v>24</v>
      </c>
      <c r="C7" s="2" t="s">
        <v>131</v>
      </c>
      <c r="D7" s="36" t="s">
        <v>31</v>
      </c>
      <c r="E7" s="11" t="s">
        <v>31</v>
      </c>
      <c r="F7" s="36" t="s">
        <v>31</v>
      </c>
      <c r="G7" s="11" t="s">
        <v>31</v>
      </c>
      <c r="H7" s="36" t="s">
        <v>31</v>
      </c>
      <c r="I7" s="11" t="s">
        <v>31</v>
      </c>
      <c r="J7" s="36" t="s">
        <v>31</v>
      </c>
      <c r="K7" s="11" t="s">
        <v>31</v>
      </c>
      <c r="L7" s="36" t="s">
        <v>31</v>
      </c>
      <c r="M7" s="11" t="s">
        <v>31</v>
      </c>
    </row>
    <row r="8" spans="1:13" x14ac:dyDescent="0.25">
      <c r="A8" s="5" t="s">
        <v>9</v>
      </c>
      <c r="B8" s="16" t="s">
        <v>24</v>
      </c>
      <c r="C8" s="2" t="s">
        <v>132</v>
      </c>
      <c r="D8" s="36"/>
      <c r="E8" s="11" t="s">
        <v>145</v>
      </c>
      <c r="F8" s="36"/>
      <c r="G8" s="11"/>
      <c r="H8" s="36"/>
      <c r="I8" s="11"/>
      <c r="J8" s="36"/>
      <c r="K8" s="11"/>
      <c r="L8" s="36"/>
      <c r="M8" s="11"/>
    </row>
    <row r="9" spans="1:13" x14ac:dyDescent="0.25">
      <c r="A9" s="5" t="s">
        <v>9</v>
      </c>
      <c r="B9" s="16" t="s">
        <v>24</v>
      </c>
      <c r="C9" s="2" t="s">
        <v>133</v>
      </c>
      <c r="D9" s="36"/>
      <c r="E9" s="11"/>
      <c r="F9" s="36"/>
      <c r="G9" s="11"/>
      <c r="H9" s="36" t="s">
        <v>294</v>
      </c>
      <c r="I9" s="11" t="s">
        <v>293</v>
      </c>
      <c r="J9" s="36"/>
      <c r="K9" s="11"/>
      <c r="L9" s="36"/>
      <c r="M9" s="11"/>
    </row>
    <row r="10" spans="1:13" x14ac:dyDescent="0.25">
      <c r="A10" s="4" t="s">
        <v>9</v>
      </c>
      <c r="B10" s="16" t="s">
        <v>24</v>
      </c>
      <c r="C10" s="2" t="s">
        <v>134</v>
      </c>
      <c r="D10" s="36"/>
      <c r="E10" s="11"/>
      <c r="F10" s="36"/>
      <c r="G10" s="11"/>
      <c r="H10" s="36"/>
      <c r="I10" s="11" t="s">
        <v>146</v>
      </c>
      <c r="J10" s="36"/>
      <c r="K10" s="11"/>
      <c r="L10" s="36"/>
      <c r="M10" s="11"/>
    </row>
    <row r="11" spans="1:13" x14ac:dyDescent="0.25">
      <c r="A11" s="5" t="s">
        <v>9</v>
      </c>
      <c r="B11" s="16" t="s">
        <v>24</v>
      </c>
      <c r="C11" s="2" t="s">
        <v>135</v>
      </c>
      <c r="D11" s="34" t="s">
        <v>305</v>
      </c>
      <c r="E11" s="13" t="s">
        <v>306</v>
      </c>
      <c r="F11" s="36" t="s">
        <v>307</v>
      </c>
      <c r="G11" s="13" t="s">
        <v>308</v>
      </c>
      <c r="H11" s="36" t="s">
        <v>309</v>
      </c>
      <c r="I11" s="13" t="s">
        <v>310</v>
      </c>
      <c r="J11" s="36" t="s">
        <v>311</v>
      </c>
      <c r="K11" s="13" t="s">
        <v>312</v>
      </c>
      <c r="L11" s="36" t="s">
        <v>304</v>
      </c>
      <c r="M11" s="13" t="s">
        <v>313</v>
      </c>
    </row>
    <row r="12" spans="1:13" x14ac:dyDescent="0.25">
      <c r="A12" s="5" t="s">
        <v>9</v>
      </c>
      <c r="B12" s="16" t="s">
        <v>24</v>
      </c>
      <c r="C12" s="2" t="s">
        <v>136</v>
      </c>
      <c r="D12" s="34"/>
      <c r="E12" s="13"/>
      <c r="F12" s="36"/>
      <c r="G12" s="13"/>
      <c r="H12" s="36"/>
      <c r="I12" s="13"/>
      <c r="J12" s="36"/>
      <c r="K12" s="13" t="s">
        <v>314</v>
      </c>
      <c r="L12" s="36"/>
      <c r="M12" s="13"/>
    </row>
    <row r="13" spans="1:13" x14ac:dyDescent="0.25">
      <c r="A13" s="4" t="s">
        <v>9</v>
      </c>
      <c r="B13" s="16" t="s">
        <v>24</v>
      </c>
      <c r="C13" s="2" t="s">
        <v>137</v>
      </c>
      <c r="D13" s="34" t="s">
        <v>32</v>
      </c>
      <c r="E13" s="13" t="s">
        <v>147</v>
      </c>
      <c r="F13" s="36" t="s">
        <v>295</v>
      </c>
      <c r="G13" s="13" t="s">
        <v>147</v>
      </c>
      <c r="H13" s="36" t="s">
        <v>32</v>
      </c>
      <c r="I13" s="13" t="s">
        <v>147</v>
      </c>
      <c r="J13" s="36" t="s">
        <v>32</v>
      </c>
      <c r="K13" s="13" t="s">
        <v>295</v>
      </c>
      <c r="L13" s="36" t="s">
        <v>147</v>
      </c>
      <c r="M13" s="13" t="s">
        <v>32</v>
      </c>
    </row>
    <row r="14" spans="1:13" x14ac:dyDescent="0.25">
      <c r="A14" s="4" t="s">
        <v>9</v>
      </c>
      <c r="B14" s="16" t="s">
        <v>24</v>
      </c>
      <c r="C14" s="2" t="s">
        <v>138</v>
      </c>
      <c r="D14" s="34" t="s">
        <v>147</v>
      </c>
      <c r="E14" s="13" t="s">
        <v>32</v>
      </c>
      <c r="F14" s="36" t="s">
        <v>295</v>
      </c>
      <c r="G14" s="13" t="s">
        <v>32</v>
      </c>
      <c r="H14" s="36" t="s">
        <v>147</v>
      </c>
      <c r="I14" s="13" t="s">
        <v>147</v>
      </c>
      <c r="J14" s="36" t="s">
        <v>32</v>
      </c>
      <c r="K14" s="13" t="s">
        <v>147</v>
      </c>
      <c r="L14" s="36" t="s">
        <v>295</v>
      </c>
      <c r="M14" s="13" t="s">
        <v>32</v>
      </c>
    </row>
    <row r="15" spans="1:13" x14ac:dyDescent="0.25">
      <c r="A15" s="4" t="s">
        <v>9</v>
      </c>
      <c r="B15" s="16" t="s">
        <v>24</v>
      </c>
      <c r="C15" s="2" t="s">
        <v>139</v>
      </c>
      <c r="D15" s="36" t="s">
        <v>321</v>
      </c>
      <c r="E15" s="11" t="s">
        <v>322</v>
      </c>
      <c r="F15" s="36" t="s">
        <v>323</v>
      </c>
      <c r="G15" s="11" t="s">
        <v>324</v>
      </c>
      <c r="H15" s="36" t="s">
        <v>325</v>
      </c>
      <c r="I15" s="11" t="s">
        <v>326</v>
      </c>
      <c r="J15" s="36" t="s">
        <v>327</v>
      </c>
      <c r="K15" s="11" t="s">
        <v>328</v>
      </c>
      <c r="L15" s="36" t="s">
        <v>329</v>
      </c>
      <c r="M15" s="11" t="s">
        <v>330</v>
      </c>
    </row>
    <row r="16" spans="1:13" x14ac:dyDescent="0.25">
      <c r="A16" s="4" t="s">
        <v>9</v>
      </c>
      <c r="B16" s="16" t="s">
        <v>24</v>
      </c>
      <c r="C16" s="2" t="s">
        <v>51</v>
      </c>
      <c r="D16" s="34" t="s">
        <v>147</v>
      </c>
      <c r="E16" s="13" t="s">
        <v>32</v>
      </c>
      <c r="F16" s="36" t="s">
        <v>32</v>
      </c>
      <c r="G16" s="13" t="s">
        <v>147</v>
      </c>
      <c r="H16" s="36" t="s">
        <v>295</v>
      </c>
      <c r="I16" s="13" t="s">
        <v>32</v>
      </c>
      <c r="J16" s="36" t="s">
        <v>147</v>
      </c>
      <c r="K16" s="13" t="s">
        <v>147</v>
      </c>
      <c r="L16" s="36" t="s">
        <v>295</v>
      </c>
      <c r="M16" s="13" t="s">
        <v>32</v>
      </c>
    </row>
    <row r="17" spans="1:13" x14ac:dyDescent="0.25">
      <c r="A17" s="5" t="s">
        <v>9</v>
      </c>
      <c r="B17" s="16" t="s">
        <v>24</v>
      </c>
      <c r="C17" s="2" t="s">
        <v>52</v>
      </c>
      <c r="D17" s="34"/>
      <c r="E17" s="13" t="s">
        <v>331</v>
      </c>
      <c r="F17" s="36" t="s">
        <v>332</v>
      </c>
      <c r="G17" s="13"/>
      <c r="H17" s="36"/>
      <c r="I17" s="13" t="s">
        <v>331</v>
      </c>
      <c r="J17" s="36"/>
      <c r="K17" s="13"/>
      <c r="L17" s="36"/>
      <c r="M17" s="13" t="s">
        <v>376</v>
      </c>
    </row>
    <row r="18" spans="1:13" x14ac:dyDescent="0.25">
      <c r="A18" s="4" t="s">
        <v>9</v>
      </c>
      <c r="B18" s="16" t="s">
        <v>24</v>
      </c>
      <c r="C18" s="2" t="s">
        <v>140</v>
      </c>
      <c r="D18" s="37">
        <v>5</v>
      </c>
      <c r="E18" s="12">
        <v>9</v>
      </c>
      <c r="F18" s="37">
        <v>7</v>
      </c>
      <c r="G18" s="12">
        <v>4</v>
      </c>
      <c r="H18" s="37">
        <v>2</v>
      </c>
      <c r="I18" s="12">
        <v>8</v>
      </c>
      <c r="J18" s="37">
        <v>1</v>
      </c>
      <c r="K18" s="12">
        <v>5</v>
      </c>
      <c r="L18" s="37">
        <v>3</v>
      </c>
      <c r="M18" s="12">
        <v>6</v>
      </c>
    </row>
    <row r="19" spans="1:13" x14ac:dyDescent="0.25">
      <c r="A19" s="4" t="s">
        <v>9</v>
      </c>
      <c r="B19" s="16" t="s">
        <v>24</v>
      </c>
      <c r="C19" s="2" t="s">
        <v>141</v>
      </c>
      <c r="D19" s="34" t="s">
        <v>32</v>
      </c>
      <c r="E19" s="13" t="s">
        <v>147</v>
      </c>
      <c r="F19" s="36" t="s">
        <v>295</v>
      </c>
      <c r="G19" s="13" t="s">
        <v>147</v>
      </c>
      <c r="H19" s="36" t="s">
        <v>32</v>
      </c>
      <c r="I19" s="13" t="s">
        <v>32</v>
      </c>
      <c r="J19" s="36" t="s">
        <v>295</v>
      </c>
      <c r="K19" s="13" t="s">
        <v>32</v>
      </c>
      <c r="L19" s="36" t="s">
        <v>32</v>
      </c>
      <c r="M19" s="13" t="s">
        <v>147</v>
      </c>
    </row>
    <row r="20" spans="1:13" x14ac:dyDescent="0.25">
      <c r="A20" s="4" t="s">
        <v>9</v>
      </c>
      <c r="B20" s="16" t="s">
        <v>24</v>
      </c>
      <c r="C20" s="2" t="s">
        <v>142</v>
      </c>
      <c r="D20" s="34" t="s">
        <v>147</v>
      </c>
      <c r="E20" s="13" t="s">
        <v>32</v>
      </c>
      <c r="F20" s="36" t="s">
        <v>32</v>
      </c>
      <c r="G20" s="13" t="s">
        <v>295</v>
      </c>
      <c r="H20" s="36" t="s">
        <v>147</v>
      </c>
      <c r="I20" s="13" t="s">
        <v>32</v>
      </c>
      <c r="J20" s="36" t="s">
        <v>32</v>
      </c>
      <c r="K20" s="13" t="s">
        <v>32</v>
      </c>
      <c r="L20" s="36" t="s">
        <v>32</v>
      </c>
      <c r="M20" s="13" t="s">
        <v>32</v>
      </c>
    </row>
    <row r="21" spans="1:13" x14ac:dyDescent="0.25">
      <c r="A21" s="5" t="s">
        <v>9</v>
      </c>
      <c r="B21" s="16" t="s">
        <v>25</v>
      </c>
      <c r="C21" s="2" t="s">
        <v>143</v>
      </c>
      <c r="D21" s="34"/>
      <c r="E21" s="13" t="s">
        <v>148</v>
      </c>
      <c r="F21" s="34" t="s">
        <v>315</v>
      </c>
      <c r="G21" s="13"/>
      <c r="H21" s="34"/>
      <c r="I21" s="13" t="s">
        <v>316</v>
      </c>
      <c r="J21" s="34" t="s">
        <v>317</v>
      </c>
      <c r="K21" s="13" t="s">
        <v>318</v>
      </c>
      <c r="L21" s="34" t="s">
        <v>319</v>
      </c>
      <c r="M21" s="13" t="s">
        <v>320</v>
      </c>
    </row>
    <row r="22" spans="1:13" x14ac:dyDescent="0.25">
      <c r="A22" s="4" t="s">
        <v>21</v>
      </c>
      <c r="B22" s="16" t="s">
        <v>24</v>
      </c>
      <c r="C22" s="2" t="s">
        <v>2</v>
      </c>
      <c r="D22" s="36" t="s">
        <v>21</v>
      </c>
      <c r="E22" s="11" t="s">
        <v>21</v>
      </c>
      <c r="F22" s="36" t="s">
        <v>21</v>
      </c>
      <c r="G22" s="11" t="s">
        <v>21</v>
      </c>
      <c r="H22" s="36" t="s">
        <v>21</v>
      </c>
      <c r="I22" s="11" t="s">
        <v>21</v>
      </c>
      <c r="J22" s="36" t="s">
        <v>21</v>
      </c>
      <c r="K22" s="11" t="s">
        <v>21</v>
      </c>
      <c r="L22" s="36" t="s">
        <v>21</v>
      </c>
      <c r="M22" s="11" t="s">
        <v>21</v>
      </c>
    </row>
    <row r="23" spans="1:13" x14ac:dyDescent="0.25">
      <c r="A23" s="4" t="s">
        <v>21</v>
      </c>
      <c r="B23" s="16" t="s">
        <v>24</v>
      </c>
      <c r="C23" s="2" t="s">
        <v>20</v>
      </c>
      <c r="D23" s="34" t="s">
        <v>35</v>
      </c>
      <c r="E23" s="13" t="s">
        <v>35</v>
      </c>
      <c r="F23" s="36" t="s">
        <v>35</v>
      </c>
      <c r="G23" s="13" t="s">
        <v>35</v>
      </c>
      <c r="H23" s="36" t="s">
        <v>35</v>
      </c>
      <c r="I23" s="13" t="s">
        <v>35</v>
      </c>
      <c r="J23" s="36" t="s">
        <v>35</v>
      </c>
      <c r="K23" s="13" t="s">
        <v>35</v>
      </c>
      <c r="L23" s="36" t="s">
        <v>35</v>
      </c>
      <c r="M23" s="13" t="s">
        <v>35</v>
      </c>
    </row>
  </sheetData>
  <dataValidations count="7">
    <dataValidation type="list" allowBlank="1" showInputMessage="1" showErrorMessage="1" sqref="D9:M9">
      <formula1>"D04, D05, D06, D13"</formula1>
    </dataValidation>
    <dataValidation type="list" allowBlank="1" showInputMessage="1" showErrorMessage="1" sqref="D8:M8">
      <formula1>"PNP1, PNP2, PNP3, PNP4, PNP5, PNP6, PNP7, PNP8, PNP9, PNP10, PNP11, PNP12, PNP13, PNP14, PNP15, PNP16"</formula1>
    </dataValidation>
    <dataValidation type="list" showErrorMessage="1" errorTitle="!!Field Selection Invalid!!" error="Only Fields to be selected are 'Have' &amp; 'Don't Have'" sqref="B2:B23">
      <formula1>"Have, Don't Have"</formula1>
    </dataValidation>
    <dataValidation type="list" allowBlank="1" showInputMessage="1" showErrorMessage="1" sqref="D4:M4">
      <formula1>"CNA, PNP, RETVD, SENT, INTAKEREJ, CODINGREJ, PNPRELEASE, CANCELED, RELEASED, SCHEDULED"</formula1>
    </dataValidation>
    <dataValidation type="list" allowBlank="1" showInputMessage="1" showErrorMessage="1" sqref="D10:M10">
      <formula1>"IMGNX"</formula1>
    </dataValidation>
    <dataValidation type="list" allowBlank="1" showInputMessage="1" showErrorMessage="1" sqref="D13:M14 D16:M16 D19:M20">
      <formula1>"Y, N, U"</formula1>
    </dataValidation>
    <dataValidation type="list" allowBlank="1" showInputMessage="1" showErrorMessage="1" sqref="D18:M18">
      <formula1>"1, 2, 3, 4, 5, 6, 7, 8, 9, U"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46"/>
  <sheetViews>
    <sheetView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C42" sqref="C42"/>
    </sheetView>
  </sheetViews>
  <sheetFormatPr defaultRowHeight="15" x14ac:dyDescent="0.25"/>
  <cols>
    <col min="1" max="1" width="14.28515625" bestFit="1" customWidth="1"/>
    <col min="2" max="2" width="31.140625" bestFit="1" customWidth="1"/>
    <col min="3" max="3" width="26.85546875" bestFit="1" customWidth="1"/>
    <col min="4" max="6" width="20.5703125" bestFit="1" customWidth="1"/>
    <col min="7" max="12" width="20.5703125" customWidth="1"/>
  </cols>
  <sheetData>
    <row r="1" spans="1:12" s="53" customFormat="1" x14ac:dyDescent="0.25">
      <c r="A1" s="9" t="s">
        <v>23</v>
      </c>
      <c r="B1" s="8" t="s">
        <v>1</v>
      </c>
      <c r="C1" s="8" t="s">
        <v>22</v>
      </c>
      <c r="D1" s="8" t="s">
        <v>237</v>
      </c>
      <c r="E1" s="8" t="s">
        <v>238</v>
      </c>
      <c r="F1" s="8" t="s">
        <v>239</v>
      </c>
      <c r="G1" s="8" t="s">
        <v>240</v>
      </c>
      <c r="H1" s="8" t="s">
        <v>241</v>
      </c>
      <c r="I1" s="8" t="s">
        <v>242</v>
      </c>
      <c r="J1" s="8" t="s">
        <v>243</v>
      </c>
      <c r="K1" s="8" t="s">
        <v>246</v>
      </c>
      <c r="L1" s="8" t="s">
        <v>247</v>
      </c>
    </row>
    <row r="2" spans="1:12" x14ac:dyDescent="0.25">
      <c r="A2" s="4" t="s">
        <v>24</v>
      </c>
      <c r="B2" s="45" t="s">
        <v>2</v>
      </c>
      <c r="C2" s="15" t="s">
        <v>203</v>
      </c>
      <c r="D2" s="15" t="s">
        <v>203</v>
      </c>
      <c r="E2" s="15" t="s">
        <v>203</v>
      </c>
      <c r="F2" s="15" t="s">
        <v>203</v>
      </c>
      <c r="G2" s="15" t="s">
        <v>203</v>
      </c>
      <c r="H2" s="15" t="s">
        <v>203</v>
      </c>
      <c r="I2" s="15" t="s">
        <v>203</v>
      </c>
      <c r="J2" s="15" t="s">
        <v>203</v>
      </c>
      <c r="K2" s="15" t="s">
        <v>203</v>
      </c>
      <c r="L2" s="15" t="s">
        <v>203</v>
      </c>
    </row>
    <row r="3" spans="1:12" x14ac:dyDescent="0.25">
      <c r="A3" s="4" t="s">
        <v>24</v>
      </c>
      <c r="B3" s="45" t="s">
        <v>395</v>
      </c>
      <c r="C3" s="52" t="s">
        <v>236</v>
      </c>
    </row>
    <row r="4" spans="1:12" ht="30" x14ac:dyDescent="0.25">
      <c r="A4" s="4" t="s">
        <v>24</v>
      </c>
      <c r="B4" s="45" t="s">
        <v>1025</v>
      </c>
      <c r="C4" s="52" t="s">
        <v>219</v>
      </c>
    </row>
    <row r="5" spans="1:12" x14ac:dyDescent="0.25">
      <c r="A5" s="4" t="s">
        <v>24</v>
      </c>
      <c r="B5" s="45" t="s">
        <v>1026</v>
      </c>
      <c r="C5" s="52" t="s">
        <v>219</v>
      </c>
    </row>
    <row r="6" spans="1:12" x14ac:dyDescent="0.25">
      <c r="A6" s="6" t="s">
        <v>24</v>
      </c>
      <c r="B6" s="45" t="s">
        <v>128</v>
      </c>
      <c r="C6" s="31"/>
    </row>
    <row r="7" spans="1:12" x14ac:dyDescent="0.25">
      <c r="A7" s="5" t="s">
        <v>24</v>
      </c>
      <c r="B7" s="45" t="s">
        <v>1027</v>
      </c>
      <c r="C7" s="13"/>
    </row>
    <row r="8" spans="1:12" x14ac:dyDescent="0.25">
      <c r="A8" s="5" t="s">
        <v>24</v>
      </c>
      <c r="B8" s="45" t="s">
        <v>175</v>
      </c>
      <c r="C8" s="13" t="s">
        <v>1110</v>
      </c>
      <c r="D8" s="13" t="s">
        <v>1063</v>
      </c>
      <c r="E8" s="13" t="s">
        <v>1075</v>
      </c>
      <c r="F8" s="13" t="s">
        <v>1065</v>
      </c>
      <c r="G8" s="13" t="s">
        <v>1067</v>
      </c>
      <c r="H8" s="13" t="s">
        <v>1069</v>
      </c>
      <c r="I8" s="13" t="s">
        <v>683</v>
      </c>
      <c r="J8" s="13" t="s">
        <v>686</v>
      </c>
      <c r="K8" s="13" t="s">
        <v>1070</v>
      </c>
      <c r="L8" s="13" t="s">
        <v>374</v>
      </c>
    </row>
    <row r="9" spans="1:12" x14ac:dyDescent="0.25">
      <c r="A9" s="5" t="s">
        <v>24</v>
      </c>
      <c r="B9" s="45" t="s">
        <v>176</v>
      </c>
      <c r="C9" s="13" t="s">
        <v>1110</v>
      </c>
      <c r="D9" s="13" t="s">
        <v>1064</v>
      </c>
      <c r="E9" s="13" t="s">
        <v>1075</v>
      </c>
      <c r="F9" s="13" t="s">
        <v>1066</v>
      </c>
      <c r="G9" s="13" t="s">
        <v>1068</v>
      </c>
      <c r="H9" s="13" t="s">
        <v>1069</v>
      </c>
      <c r="I9" s="13" t="s">
        <v>683</v>
      </c>
      <c r="J9" s="13" t="s">
        <v>686</v>
      </c>
      <c r="K9" s="13" t="s">
        <v>1071</v>
      </c>
      <c r="L9" s="13" t="s">
        <v>369</v>
      </c>
    </row>
    <row r="10" spans="1:12" x14ac:dyDescent="0.25">
      <c r="A10" s="5" t="s">
        <v>24</v>
      </c>
      <c r="B10" s="45" t="s">
        <v>177</v>
      </c>
      <c r="C10" s="97" t="s">
        <v>1041</v>
      </c>
      <c r="D10" s="97" t="s">
        <v>1041</v>
      </c>
      <c r="E10" s="97" t="s">
        <v>1041</v>
      </c>
      <c r="F10" s="97" t="s">
        <v>1041</v>
      </c>
      <c r="G10" s="97" t="s">
        <v>1073</v>
      </c>
      <c r="H10" s="97" t="s">
        <v>889</v>
      </c>
      <c r="I10" s="97" t="s">
        <v>662</v>
      </c>
      <c r="J10" s="97" t="s">
        <v>1041</v>
      </c>
      <c r="K10" s="97" t="s">
        <v>1072</v>
      </c>
      <c r="L10" s="97" t="s">
        <v>1041</v>
      </c>
    </row>
    <row r="11" spans="1:12" x14ac:dyDescent="0.25">
      <c r="A11" s="6" t="s">
        <v>24</v>
      </c>
      <c r="B11" s="45" t="s">
        <v>1028</v>
      </c>
      <c r="C11" s="90" t="s">
        <v>28</v>
      </c>
      <c r="D11" s="90" t="s">
        <v>28</v>
      </c>
      <c r="E11" s="90" t="s">
        <v>28</v>
      </c>
      <c r="F11" s="90" t="s">
        <v>28</v>
      </c>
      <c r="G11" s="90" t="s">
        <v>28</v>
      </c>
      <c r="H11" s="90" t="s">
        <v>28</v>
      </c>
      <c r="I11" s="90" t="s">
        <v>28</v>
      </c>
      <c r="J11" s="90" t="s">
        <v>28</v>
      </c>
      <c r="K11" s="90" t="s">
        <v>28</v>
      </c>
      <c r="L11" s="90" t="s">
        <v>28</v>
      </c>
    </row>
    <row r="12" spans="1:12" x14ac:dyDescent="0.25">
      <c r="A12" s="5" t="s">
        <v>24</v>
      </c>
      <c r="B12" s="45" t="s">
        <v>1029</v>
      </c>
      <c r="C12" s="15" t="s">
        <v>263</v>
      </c>
      <c r="D12" s="15" t="s">
        <v>1042</v>
      </c>
      <c r="E12" s="15" t="s">
        <v>263</v>
      </c>
      <c r="F12" s="15" t="s">
        <v>1042</v>
      </c>
      <c r="G12" s="15" t="s">
        <v>263</v>
      </c>
      <c r="H12" s="15" t="s">
        <v>262</v>
      </c>
      <c r="I12" s="15" t="s">
        <v>1042</v>
      </c>
      <c r="J12" s="15" t="s">
        <v>262</v>
      </c>
      <c r="K12" s="15" t="s">
        <v>262</v>
      </c>
      <c r="L12" s="15" t="s">
        <v>263</v>
      </c>
    </row>
    <row r="13" spans="1:12" x14ac:dyDescent="0.25">
      <c r="A13" s="5" t="s">
        <v>24</v>
      </c>
      <c r="B13" s="45" t="s">
        <v>182</v>
      </c>
      <c r="C13" s="13" t="s">
        <v>147</v>
      </c>
      <c r="D13" s="13" t="s">
        <v>32</v>
      </c>
      <c r="E13" s="13" t="s">
        <v>147</v>
      </c>
      <c r="F13" s="13" t="s">
        <v>32</v>
      </c>
      <c r="G13" s="13" t="s">
        <v>147</v>
      </c>
      <c r="H13" s="13" t="s">
        <v>32</v>
      </c>
      <c r="I13" s="13" t="s">
        <v>147</v>
      </c>
      <c r="J13" s="13" t="s">
        <v>32</v>
      </c>
      <c r="K13" s="13" t="s">
        <v>147</v>
      </c>
      <c r="L13" s="13" t="s">
        <v>32</v>
      </c>
    </row>
    <row r="14" spans="1:12" x14ac:dyDescent="0.25">
      <c r="A14" s="5" t="s">
        <v>24</v>
      </c>
      <c r="B14" s="45" t="s">
        <v>183</v>
      </c>
      <c r="C14" s="90" t="s">
        <v>1043</v>
      </c>
      <c r="D14" s="90"/>
      <c r="E14" s="90" t="s">
        <v>1043</v>
      </c>
      <c r="F14" s="90"/>
      <c r="G14" s="90" t="s">
        <v>1043</v>
      </c>
      <c r="H14" s="90"/>
      <c r="I14" s="90" t="s">
        <v>1043</v>
      </c>
      <c r="J14" s="90"/>
      <c r="K14" s="90" t="s">
        <v>1043</v>
      </c>
      <c r="L14" s="90"/>
    </row>
    <row r="15" spans="1:12" x14ac:dyDescent="0.25">
      <c r="A15" s="5" t="s">
        <v>24</v>
      </c>
      <c r="B15" s="45" t="s">
        <v>184</v>
      </c>
      <c r="C15" s="90" t="s">
        <v>1044</v>
      </c>
      <c r="D15" s="90"/>
      <c r="E15" s="90" t="s">
        <v>1044</v>
      </c>
      <c r="F15" s="90"/>
      <c r="G15" s="90" t="s">
        <v>1044</v>
      </c>
      <c r="H15" s="90"/>
      <c r="I15" s="90" t="s">
        <v>1044</v>
      </c>
      <c r="J15" s="90"/>
      <c r="K15" s="90" t="s">
        <v>1044</v>
      </c>
      <c r="L15" s="90"/>
    </row>
    <row r="16" spans="1:12" ht="30" x14ac:dyDescent="0.25">
      <c r="A16" s="5" t="s">
        <v>24</v>
      </c>
      <c r="B16" s="45" t="s">
        <v>185</v>
      </c>
      <c r="C16" s="13" t="s">
        <v>1045</v>
      </c>
      <c r="D16" s="13"/>
      <c r="E16" s="13" t="s">
        <v>1045</v>
      </c>
      <c r="F16" s="13"/>
      <c r="G16" s="13" t="s">
        <v>1045</v>
      </c>
      <c r="H16" s="13"/>
      <c r="I16" s="13" t="s">
        <v>1045</v>
      </c>
      <c r="J16" s="13"/>
      <c r="K16" s="13" t="s">
        <v>1045</v>
      </c>
      <c r="L16" s="13"/>
    </row>
    <row r="17" spans="1:12" x14ac:dyDescent="0.25">
      <c r="A17" s="5" t="s">
        <v>24</v>
      </c>
      <c r="B17" s="45" t="s">
        <v>186</v>
      </c>
      <c r="C17" s="90" t="s">
        <v>1046</v>
      </c>
      <c r="D17" s="90"/>
      <c r="E17" s="90" t="s">
        <v>1046</v>
      </c>
      <c r="F17" s="90"/>
      <c r="G17" s="90" t="s">
        <v>1046</v>
      </c>
      <c r="H17" s="90"/>
      <c r="I17" s="90" t="s">
        <v>1046</v>
      </c>
      <c r="K17" s="90" t="s">
        <v>1046</v>
      </c>
      <c r="L17" s="90"/>
    </row>
    <row r="18" spans="1:12" x14ac:dyDescent="0.25">
      <c r="A18" s="5" t="s">
        <v>24</v>
      </c>
      <c r="B18" s="45" t="s">
        <v>187</v>
      </c>
      <c r="C18" s="90" t="s">
        <v>1047</v>
      </c>
      <c r="D18" s="90"/>
      <c r="E18" s="90" t="s">
        <v>1047</v>
      </c>
      <c r="F18" s="90"/>
      <c r="G18" s="90" t="s">
        <v>1047</v>
      </c>
      <c r="H18" s="90"/>
      <c r="I18" s="90" t="s">
        <v>1047</v>
      </c>
      <c r="K18" s="90" t="s">
        <v>1047</v>
      </c>
      <c r="L18" s="90"/>
    </row>
    <row r="19" spans="1:12" x14ac:dyDescent="0.25">
      <c r="A19" s="5" t="s">
        <v>24</v>
      </c>
      <c r="B19" s="45" t="s">
        <v>188</v>
      </c>
      <c r="C19" s="90" t="s">
        <v>1048</v>
      </c>
      <c r="D19" s="90"/>
      <c r="E19" s="90" t="s">
        <v>1048</v>
      </c>
      <c r="F19" s="90"/>
      <c r="G19" s="90" t="s">
        <v>1048</v>
      </c>
      <c r="H19" s="90"/>
      <c r="I19" s="90" t="s">
        <v>1048</v>
      </c>
      <c r="K19" s="90" t="s">
        <v>1048</v>
      </c>
      <c r="L19" s="90"/>
    </row>
    <row r="20" spans="1:12" x14ac:dyDescent="0.25">
      <c r="A20" s="5" t="s">
        <v>24</v>
      </c>
      <c r="B20" s="45" t="s">
        <v>189</v>
      </c>
      <c r="C20" s="90" t="s">
        <v>1049</v>
      </c>
      <c r="D20" s="90"/>
      <c r="E20" s="90" t="s">
        <v>1049</v>
      </c>
      <c r="F20" s="90"/>
      <c r="G20" s="90" t="s">
        <v>1049</v>
      </c>
      <c r="H20" s="90"/>
      <c r="I20" s="90" t="s">
        <v>1049</v>
      </c>
      <c r="J20" s="90"/>
      <c r="K20" s="90" t="s">
        <v>1049</v>
      </c>
      <c r="L20" s="90"/>
    </row>
    <row r="21" spans="1:12" x14ac:dyDescent="0.25">
      <c r="A21" s="5" t="s">
        <v>24</v>
      </c>
      <c r="B21" s="45" t="s">
        <v>190</v>
      </c>
      <c r="C21" s="90" t="s">
        <v>1050</v>
      </c>
      <c r="D21" s="90"/>
      <c r="E21" s="90" t="s">
        <v>1050</v>
      </c>
      <c r="F21" s="90"/>
      <c r="G21" s="90" t="s">
        <v>1050</v>
      </c>
      <c r="H21" s="90"/>
      <c r="I21" s="90" t="s">
        <v>1050</v>
      </c>
      <c r="J21" s="90"/>
      <c r="K21" s="90" t="s">
        <v>1050</v>
      </c>
      <c r="L21" s="90"/>
    </row>
    <row r="22" spans="1:12" x14ac:dyDescent="0.25">
      <c r="A22" s="5" t="s">
        <v>24</v>
      </c>
      <c r="B22" s="45" t="s">
        <v>191</v>
      </c>
      <c r="C22" s="59" t="s">
        <v>851</v>
      </c>
      <c r="D22" s="59"/>
      <c r="E22" s="59" t="s">
        <v>851</v>
      </c>
      <c r="F22" s="59"/>
      <c r="G22" s="59" t="s">
        <v>851</v>
      </c>
      <c r="H22" s="59"/>
      <c r="I22" s="59" t="s">
        <v>851</v>
      </c>
      <c r="J22" s="59"/>
      <c r="K22" s="59" t="s">
        <v>851</v>
      </c>
      <c r="L22" s="59"/>
    </row>
    <row r="23" spans="1:12" x14ac:dyDescent="0.25">
      <c r="A23" s="5" t="s">
        <v>24</v>
      </c>
      <c r="B23" s="45" t="s">
        <v>192</v>
      </c>
      <c r="C23" s="13" t="s">
        <v>230</v>
      </c>
      <c r="D23" s="13"/>
      <c r="E23" s="13" t="s">
        <v>230</v>
      </c>
      <c r="F23" s="13"/>
      <c r="G23" s="13" t="s">
        <v>230</v>
      </c>
      <c r="H23" s="13"/>
      <c r="I23" s="13" t="s">
        <v>230</v>
      </c>
      <c r="J23" s="13"/>
      <c r="K23" s="13" t="s">
        <v>230</v>
      </c>
      <c r="L23" s="13"/>
    </row>
    <row r="24" spans="1:12" x14ac:dyDescent="0.25">
      <c r="A24" s="5" t="s">
        <v>24</v>
      </c>
      <c r="B24" s="45" t="s">
        <v>193</v>
      </c>
      <c r="C24" s="13" t="s">
        <v>1051</v>
      </c>
      <c r="D24" s="13"/>
      <c r="E24" s="13" t="s">
        <v>1051</v>
      </c>
      <c r="F24" s="13"/>
      <c r="G24" s="13" t="s">
        <v>1051</v>
      </c>
      <c r="H24" s="13"/>
      <c r="I24" s="13" t="s">
        <v>1051</v>
      </c>
      <c r="J24" s="13"/>
      <c r="K24" s="13" t="s">
        <v>1051</v>
      </c>
      <c r="L24" s="13"/>
    </row>
    <row r="25" spans="1:12" x14ac:dyDescent="0.25">
      <c r="A25" s="5" t="s">
        <v>24</v>
      </c>
      <c r="B25" s="45" t="s">
        <v>194</v>
      </c>
      <c r="C25" s="13" t="s">
        <v>1052</v>
      </c>
      <c r="D25" s="13"/>
      <c r="E25" s="13" t="s">
        <v>1052</v>
      </c>
      <c r="F25" s="13"/>
      <c r="G25" s="13" t="s">
        <v>1052</v>
      </c>
      <c r="H25" s="13"/>
      <c r="I25" s="13" t="s">
        <v>1052</v>
      </c>
      <c r="J25" s="13"/>
      <c r="K25" s="13" t="s">
        <v>1052</v>
      </c>
      <c r="L25" s="13"/>
    </row>
    <row r="26" spans="1:12" ht="30" x14ac:dyDescent="0.25">
      <c r="A26" s="5" t="s">
        <v>24</v>
      </c>
      <c r="B26" s="45" t="s">
        <v>195</v>
      </c>
      <c r="C26" s="98" t="s">
        <v>1053</v>
      </c>
      <c r="D26" s="98"/>
      <c r="E26" s="98" t="s">
        <v>1053</v>
      </c>
      <c r="F26" s="98"/>
      <c r="G26" s="98" t="s">
        <v>1053</v>
      </c>
      <c r="H26" s="98"/>
      <c r="I26" s="98" t="s">
        <v>1053</v>
      </c>
      <c r="J26" s="98"/>
      <c r="K26" s="98" t="s">
        <v>1053</v>
      </c>
      <c r="L26" s="98"/>
    </row>
    <row r="27" spans="1:12" x14ac:dyDescent="0.25">
      <c r="A27" s="5" t="s">
        <v>24</v>
      </c>
      <c r="B27" s="45" t="s">
        <v>196</v>
      </c>
      <c r="C27" s="60"/>
      <c r="D27" s="60"/>
      <c r="E27" s="60" t="s">
        <v>637</v>
      </c>
      <c r="F27" s="60"/>
      <c r="G27" s="60" t="s">
        <v>637</v>
      </c>
      <c r="H27" s="60"/>
      <c r="I27" s="60" t="s">
        <v>637</v>
      </c>
      <c r="J27" s="60"/>
      <c r="K27" s="60" t="s">
        <v>637</v>
      </c>
      <c r="L27" s="60"/>
    </row>
    <row r="28" spans="1:12" x14ac:dyDescent="0.25">
      <c r="A28" s="6" t="s">
        <v>24</v>
      </c>
      <c r="B28" s="45" t="s">
        <v>1030</v>
      </c>
      <c r="C28" s="13"/>
      <c r="D28" s="13"/>
      <c r="E28" s="13" t="s">
        <v>1055</v>
      </c>
      <c r="F28" s="13"/>
      <c r="G28" s="13"/>
      <c r="H28" s="13"/>
      <c r="I28" s="13"/>
      <c r="J28" s="13"/>
      <c r="K28" s="13"/>
      <c r="L28" s="13" t="s">
        <v>1104</v>
      </c>
    </row>
    <row r="29" spans="1:12" x14ac:dyDescent="0.25">
      <c r="A29" s="6" t="s">
        <v>24</v>
      </c>
      <c r="B29" s="45" t="s">
        <v>1031</v>
      </c>
      <c r="C29" s="13"/>
      <c r="D29" s="13"/>
      <c r="E29" s="13"/>
      <c r="F29" s="13"/>
      <c r="G29" s="13" t="s">
        <v>1104</v>
      </c>
      <c r="H29" s="13" t="s">
        <v>1105</v>
      </c>
      <c r="I29" s="13"/>
      <c r="J29" s="13"/>
      <c r="K29" s="13" t="s">
        <v>1104</v>
      </c>
      <c r="L29" s="13" t="s">
        <v>1105</v>
      </c>
    </row>
    <row r="30" spans="1:12" x14ac:dyDescent="0.25">
      <c r="A30" s="6" t="s">
        <v>24</v>
      </c>
      <c r="B30" s="45" t="s">
        <v>1032</v>
      </c>
      <c r="C30" s="13"/>
      <c r="D30" s="13" t="s">
        <v>1104</v>
      </c>
      <c r="E30" s="13"/>
      <c r="F30" s="13"/>
      <c r="G30" s="13"/>
      <c r="H30" s="13" t="s">
        <v>1104</v>
      </c>
      <c r="I30" s="13"/>
      <c r="J30" s="13"/>
      <c r="K30" s="13"/>
      <c r="L30" s="13" t="s">
        <v>1055</v>
      </c>
    </row>
    <row r="31" spans="1:12" x14ac:dyDescent="0.25">
      <c r="A31" s="6" t="s">
        <v>24</v>
      </c>
      <c r="B31" s="45" t="s">
        <v>1033</v>
      </c>
      <c r="C31" s="13"/>
      <c r="D31" s="13"/>
      <c r="E31" s="13"/>
      <c r="F31" s="13"/>
      <c r="G31" s="13"/>
      <c r="H31" s="13"/>
      <c r="I31" s="13"/>
      <c r="J31" s="13"/>
      <c r="K31" s="13"/>
      <c r="L31" s="13" t="s">
        <v>1056</v>
      </c>
    </row>
    <row r="32" spans="1:12" x14ac:dyDescent="0.25">
      <c r="A32" s="6" t="s">
        <v>24</v>
      </c>
      <c r="B32" s="45" t="s">
        <v>1034</v>
      </c>
      <c r="C32" s="13"/>
      <c r="D32" s="13"/>
      <c r="E32" s="13"/>
      <c r="F32" s="13"/>
      <c r="G32" s="13"/>
      <c r="H32" s="13"/>
      <c r="I32" s="13"/>
      <c r="J32" s="13"/>
      <c r="K32" s="13"/>
      <c r="L32" s="13" t="s">
        <v>1074</v>
      </c>
    </row>
    <row r="33" spans="1:12" x14ac:dyDescent="0.25">
      <c r="A33" s="6" t="s">
        <v>24</v>
      </c>
      <c r="B33" s="45" t="s">
        <v>1035</v>
      </c>
      <c r="C33" s="13"/>
      <c r="D33" s="13"/>
      <c r="E33" s="13"/>
      <c r="F33" s="13"/>
      <c r="G33" s="13" t="s">
        <v>1074</v>
      </c>
      <c r="H33" s="13"/>
      <c r="I33" s="13"/>
      <c r="J33" s="13"/>
      <c r="K33" s="13"/>
      <c r="L33" s="13" t="s">
        <v>336</v>
      </c>
    </row>
    <row r="34" spans="1:12" x14ac:dyDescent="0.25">
      <c r="A34" s="6" t="s">
        <v>24</v>
      </c>
      <c r="B34" s="45" t="s">
        <v>1036</v>
      </c>
      <c r="C34" s="13"/>
      <c r="D34" s="13"/>
      <c r="E34" s="13"/>
      <c r="F34" s="13"/>
      <c r="G34" s="13"/>
      <c r="H34" s="13"/>
      <c r="I34" s="13"/>
      <c r="J34" s="13"/>
      <c r="K34" s="13"/>
      <c r="L34" s="13" t="s">
        <v>1057</v>
      </c>
    </row>
    <row r="35" spans="1:12" x14ac:dyDescent="0.25">
      <c r="A35" s="6" t="s">
        <v>24</v>
      </c>
      <c r="B35" s="45" t="s">
        <v>95</v>
      </c>
      <c r="C35" s="13" t="s">
        <v>1054</v>
      </c>
      <c r="D35" s="13" t="s">
        <v>1054</v>
      </c>
      <c r="E35" s="13" t="s">
        <v>1054</v>
      </c>
      <c r="F35" s="13" t="s">
        <v>1054</v>
      </c>
      <c r="G35" s="13" t="s">
        <v>1054</v>
      </c>
      <c r="H35" s="13" t="s">
        <v>1054</v>
      </c>
      <c r="I35" s="13" t="s">
        <v>1054</v>
      </c>
      <c r="J35" s="13" t="s">
        <v>1054</v>
      </c>
      <c r="K35" s="13" t="s">
        <v>1054</v>
      </c>
      <c r="L35" s="13" t="s">
        <v>1054</v>
      </c>
    </row>
    <row r="36" spans="1:12" x14ac:dyDescent="0.25">
      <c r="A36" s="4" t="s">
        <v>24</v>
      </c>
      <c r="B36" s="40" t="s">
        <v>2</v>
      </c>
      <c r="C36" s="13" t="s">
        <v>204</v>
      </c>
      <c r="D36" s="13" t="s">
        <v>204</v>
      </c>
      <c r="E36" s="13" t="s">
        <v>204</v>
      </c>
      <c r="F36" s="13" t="s">
        <v>204</v>
      </c>
      <c r="G36" s="13" t="s">
        <v>204</v>
      </c>
      <c r="H36" s="13" t="s">
        <v>204</v>
      </c>
      <c r="I36" s="13" t="s">
        <v>204</v>
      </c>
      <c r="J36" s="13" t="s">
        <v>204</v>
      </c>
      <c r="K36" s="13" t="s">
        <v>204</v>
      </c>
      <c r="L36" s="13" t="s">
        <v>204</v>
      </c>
    </row>
    <row r="37" spans="1:12" x14ac:dyDescent="0.25">
      <c r="A37" s="4" t="s">
        <v>24</v>
      </c>
      <c r="B37" s="40" t="s">
        <v>1026</v>
      </c>
      <c r="C37" s="52" t="s">
        <v>219</v>
      </c>
    </row>
    <row r="38" spans="1:12" x14ac:dyDescent="0.25">
      <c r="A38" s="5" t="s">
        <v>24</v>
      </c>
      <c r="B38" s="40" t="s">
        <v>175</v>
      </c>
      <c r="C38" s="13" t="str">
        <f t="shared" ref="C38:D40" si="0">C8</f>
        <v>03/03/2013</v>
      </c>
      <c r="D38" s="13" t="str">
        <f t="shared" si="0"/>
        <v>04/05/2013</v>
      </c>
      <c r="E38" s="13" t="str">
        <f t="shared" ref="E38:L38" si="1">E8</f>
        <v>02/05/2013</v>
      </c>
      <c r="F38" s="13" t="str">
        <f t="shared" si="1"/>
        <v>08/08/2013</v>
      </c>
      <c r="G38" s="13" t="str">
        <f t="shared" si="1"/>
        <v>10/05/2013</v>
      </c>
      <c r="H38" s="13" t="str">
        <f t="shared" si="1"/>
        <v>05/07/2014</v>
      </c>
      <c r="I38" s="13" t="str">
        <f t="shared" si="1"/>
        <v>01/01/2014</v>
      </c>
      <c r="J38" s="13" t="str">
        <f t="shared" si="1"/>
        <v>12/31/2013</v>
      </c>
      <c r="K38" s="13" t="str">
        <f t="shared" si="1"/>
        <v>28/02/2013</v>
      </c>
      <c r="L38" s="13" t="str">
        <f t="shared" si="1"/>
        <v>03/07/2013</v>
      </c>
    </row>
    <row r="39" spans="1:12" x14ac:dyDescent="0.25">
      <c r="A39" s="5" t="s">
        <v>24</v>
      </c>
      <c r="B39" s="40" t="s">
        <v>176</v>
      </c>
      <c r="C39" s="13" t="str">
        <f t="shared" si="0"/>
        <v>03/03/2013</v>
      </c>
      <c r="D39" s="13" t="str">
        <f t="shared" si="0"/>
        <v>05/04/2013</v>
      </c>
      <c r="E39" s="13" t="str">
        <f t="shared" ref="E39:L39" si="2">E9</f>
        <v>02/05/2013</v>
      </c>
      <c r="F39" s="13" t="str">
        <f t="shared" si="2"/>
        <v>09/09/2013</v>
      </c>
      <c r="G39" s="13" t="str">
        <f t="shared" si="2"/>
        <v>12/04/2013</v>
      </c>
      <c r="H39" s="13" t="str">
        <f t="shared" si="2"/>
        <v>05/07/2014</v>
      </c>
      <c r="I39" s="13" t="str">
        <f t="shared" si="2"/>
        <v>01/01/2014</v>
      </c>
      <c r="J39" s="13" t="str">
        <f t="shared" si="2"/>
        <v>12/31/2013</v>
      </c>
      <c r="K39" s="13" t="str">
        <f t="shared" si="2"/>
        <v>07/07/2014</v>
      </c>
      <c r="L39" s="13" t="str">
        <f t="shared" si="2"/>
        <v>05/05/2013</v>
      </c>
    </row>
    <row r="40" spans="1:12" x14ac:dyDescent="0.25">
      <c r="A40" s="5" t="s">
        <v>24</v>
      </c>
      <c r="B40" s="40" t="s">
        <v>177</v>
      </c>
      <c r="C40" s="13" t="str">
        <f t="shared" ref="C40:L40" si="3">C10</f>
        <v>O</v>
      </c>
      <c r="D40" s="13" t="str">
        <f t="shared" si="0"/>
        <v>O</v>
      </c>
      <c r="E40" s="13" t="str">
        <f t="shared" si="3"/>
        <v>O</v>
      </c>
      <c r="F40" s="13" t="str">
        <f t="shared" si="3"/>
        <v>O</v>
      </c>
      <c r="G40" s="13" t="str">
        <f t="shared" si="3"/>
        <v>IPC</v>
      </c>
      <c r="H40" s="13" t="str">
        <f t="shared" si="3"/>
        <v>S</v>
      </c>
      <c r="I40" s="13" t="str">
        <f t="shared" si="3"/>
        <v>OH</v>
      </c>
      <c r="J40" s="13" t="str">
        <f t="shared" si="3"/>
        <v>O</v>
      </c>
      <c r="K40" s="13" t="str">
        <f t="shared" si="3"/>
        <v>I</v>
      </c>
      <c r="L40" s="13" t="str">
        <f t="shared" si="3"/>
        <v>O</v>
      </c>
    </row>
    <row r="41" spans="1:12" x14ac:dyDescent="0.25">
      <c r="A41" s="5" t="s">
        <v>24</v>
      </c>
      <c r="B41" s="40" t="s">
        <v>1037</v>
      </c>
      <c r="C41" s="13" t="s">
        <v>235</v>
      </c>
      <c r="D41" s="13" t="s">
        <v>249</v>
      </c>
      <c r="E41" s="13" t="s">
        <v>244</v>
      </c>
      <c r="F41" s="13" t="s">
        <v>288</v>
      </c>
      <c r="G41" s="13" t="s">
        <v>282</v>
      </c>
      <c r="H41" s="13" t="s">
        <v>283</v>
      </c>
      <c r="I41" s="13" t="s">
        <v>1076</v>
      </c>
      <c r="J41" s="13" t="s">
        <v>284</v>
      </c>
      <c r="K41" s="13" t="s">
        <v>285</v>
      </c>
      <c r="L41" s="13" t="s">
        <v>286</v>
      </c>
    </row>
    <row r="42" spans="1:12" x14ac:dyDescent="0.25">
      <c r="A42" s="4" t="s">
        <v>24</v>
      </c>
      <c r="B42" s="40" t="s">
        <v>356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</row>
    <row r="43" spans="1:12" x14ac:dyDescent="0.25">
      <c r="A43" s="4" t="s">
        <v>24</v>
      </c>
      <c r="B43" s="40" t="s">
        <v>1038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</row>
    <row r="44" spans="1:12" x14ac:dyDescent="0.25">
      <c r="A44" s="4" t="s">
        <v>24</v>
      </c>
      <c r="B44" s="43" t="s">
        <v>2</v>
      </c>
      <c r="C44" s="13" t="s">
        <v>21</v>
      </c>
    </row>
    <row r="45" spans="1:12" x14ac:dyDescent="0.25">
      <c r="A45" s="4" t="s">
        <v>24</v>
      </c>
      <c r="B45" s="43" t="s">
        <v>1039</v>
      </c>
      <c r="C45" s="52" t="s">
        <v>236</v>
      </c>
    </row>
    <row r="46" spans="1:12" x14ac:dyDescent="0.25">
      <c r="A46" s="6" t="s">
        <v>24</v>
      </c>
      <c r="B46" s="43" t="s">
        <v>1040</v>
      </c>
      <c r="C46" s="52" t="s">
        <v>236</v>
      </c>
    </row>
  </sheetData>
  <dataConsolidate/>
  <dataValidations count="9">
    <dataValidation type="list" allowBlank="1" showInputMessage="1" showErrorMessage="1" sqref="C13:L13">
      <formula1>"Y, N"</formula1>
    </dataValidation>
    <dataValidation type="list" allowBlank="1" showInputMessage="1" showErrorMessage="1" sqref="C2:L2">
      <formula1>"AAA"</formula1>
    </dataValidation>
    <dataValidation type="list" allowBlank="1" showInputMessage="1" showErrorMessage="1" sqref="C6">
      <formula1>"CODREJ"</formula1>
    </dataValidation>
    <dataValidation type="list" allowBlank="1" showInputMessage="1" showErrorMessage="1" sqref="C10:L10">
      <formula1>"O, I, S, OH, IPC"</formula1>
    </dataValidation>
    <dataValidation type="list" allowBlank="1" showInputMessage="1" showErrorMessage="1" sqref="C12:L12">
      <formula1>"E, H, D"</formula1>
    </dataValidation>
    <dataValidation type="list" allowBlank="1" showInputMessage="1" showErrorMessage="1" sqref="C22:L22">
      <formula1>"AL,AK,AZ,AR,CA,CO,CT,DE,DC,FL,GA,HI,ID,IL,IN,IA,KS,KY,LA,ME,MD,MA,MI,MN,MS,MO,MT,NE,NV,NH,NJ,NM,NY,NC,ND,OH,OK,OR,PA,RI,SC,SD,TN,TX,UT,VT,VA,WA,WV,WI,WY,PR"</formula1>
    </dataValidation>
    <dataValidation type="list" showErrorMessage="1" errorTitle="!!Field Selection Invalid!!" error="Only Fields to be selected are 'Have' &amp; 'Don't Have'" sqref="A2:A46">
      <formula1>"Have, Don't Have"</formula1>
    </dataValidation>
    <dataValidation type="list" allowBlank="1" showInputMessage="1" showErrorMessage="1" sqref="C42:L43">
      <formula1>"Y"</formula1>
    </dataValidation>
    <dataValidation type="list" allowBlank="1" showInputMessage="1" showErrorMessage="1" sqref="C28:L34">
      <formula1>"D25, D26, D27, D02, D09, C06, D04, D10, D14, D08"</formula1>
    </dataValidation>
  </dataValidations>
  <hyperlinks>
    <hyperlink ref="C26" r:id="rId1"/>
    <hyperlink ref="E26" r:id="rId2"/>
    <hyperlink ref="G26" r:id="rId3"/>
    <hyperlink ref="I26" r:id="rId4"/>
    <hyperlink ref="K26" r:id="rId5"/>
  </hyperlinks>
  <pageMargins left="0.7" right="0.7" top="0.75" bottom="0.75" header="0.3" footer="0.3"/>
  <pageSetup orientation="portrait" r:id="rId6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55"/>
  <sheetViews>
    <sheetView workbookViewId="0">
      <pane xSplit="2" ySplit="1" topLeftCell="C8" activePane="bottomRight" state="frozen"/>
      <selection activeCell="F15" sqref="F15"/>
      <selection pane="topRight" activeCell="F15" sqref="F15"/>
      <selection pane="bottomLeft" activeCell="F15" sqref="F15"/>
      <selection pane="bottomRight" activeCell="F15" sqref="F15"/>
    </sheetView>
  </sheetViews>
  <sheetFormatPr defaultRowHeight="15" x14ac:dyDescent="0.25"/>
  <cols>
    <col min="1" max="1" width="15.7109375" customWidth="1"/>
    <col min="2" max="3" width="32.7109375" customWidth="1"/>
    <col min="4" max="11" width="12.140625" bestFit="1" customWidth="1"/>
    <col min="12" max="12" width="13.28515625" bestFit="1" customWidth="1"/>
    <col min="13" max="17" width="13.42578125" customWidth="1"/>
  </cols>
  <sheetData>
    <row r="1" spans="1:17" s="53" customFormat="1" x14ac:dyDescent="0.25">
      <c r="A1" s="9" t="s">
        <v>23</v>
      </c>
      <c r="B1" s="8" t="s">
        <v>1</v>
      </c>
      <c r="C1" s="8" t="s">
        <v>22</v>
      </c>
      <c r="D1" s="8" t="s">
        <v>237</v>
      </c>
      <c r="E1" s="8" t="s">
        <v>238</v>
      </c>
      <c r="F1" s="8" t="s">
        <v>239</v>
      </c>
      <c r="G1" s="8" t="s">
        <v>240</v>
      </c>
      <c r="H1" s="8" t="s">
        <v>241</v>
      </c>
      <c r="I1" s="8" t="s">
        <v>242</v>
      </c>
      <c r="J1" s="8" t="s">
        <v>243</v>
      </c>
      <c r="K1" s="8" t="s">
        <v>246</v>
      </c>
      <c r="L1" s="8" t="s">
        <v>247</v>
      </c>
      <c r="M1" s="8" t="s">
        <v>276</v>
      </c>
      <c r="N1" s="8" t="s">
        <v>277</v>
      </c>
      <c r="O1" s="8" t="s">
        <v>278</v>
      </c>
      <c r="P1" s="8" t="s">
        <v>279</v>
      </c>
      <c r="Q1" s="8" t="s">
        <v>280</v>
      </c>
    </row>
    <row r="2" spans="1:17" x14ac:dyDescent="0.25">
      <c r="A2" s="4" t="s">
        <v>24</v>
      </c>
      <c r="B2" s="45" t="s">
        <v>172</v>
      </c>
      <c r="C2" s="15" t="s">
        <v>203</v>
      </c>
    </row>
    <row r="3" spans="1:17" x14ac:dyDescent="0.25">
      <c r="A3" s="6" t="s">
        <v>24</v>
      </c>
      <c r="B3" s="45" t="s">
        <v>5</v>
      </c>
      <c r="C3" s="13" t="s">
        <v>211</v>
      </c>
    </row>
    <row r="4" spans="1:17" x14ac:dyDescent="0.25">
      <c r="A4" s="6" t="s">
        <v>24</v>
      </c>
      <c r="B4" s="45" t="s">
        <v>173</v>
      </c>
      <c r="C4" s="13" t="s">
        <v>212</v>
      </c>
    </row>
    <row r="5" spans="1:17" x14ac:dyDescent="0.25">
      <c r="A5" s="4" t="s">
        <v>24</v>
      </c>
      <c r="B5" s="45" t="s">
        <v>174</v>
      </c>
      <c r="C5" s="13" t="s">
        <v>250</v>
      </c>
    </row>
    <row r="6" spans="1:17" x14ac:dyDescent="0.25">
      <c r="A6" s="4" t="s">
        <v>24</v>
      </c>
      <c r="B6" s="45" t="s">
        <v>55</v>
      </c>
      <c r="C6" s="52" t="s">
        <v>219</v>
      </c>
    </row>
    <row r="7" spans="1:17" x14ac:dyDescent="0.25">
      <c r="A7" s="4" t="s">
        <v>24</v>
      </c>
      <c r="B7" s="45" t="s">
        <v>3</v>
      </c>
      <c r="C7" s="13" t="s">
        <v>3</v>
      </c>
    </row>
    <row r="8" spans="1:17" x14ac:dyDescent="0.25">
      <c r="A8" s="4" t="s">
        <v>24</v>
      </c>
      <c r="B8" s="40" t="s">
        <v>172</v>
      </c>
      <c r="C8" s="15" t="s">
        <v>204</v>
      </c>
    </row>
    <row r="9" spans="1:17" x14ac:dyDescent="0.25">
      <c r="A9" s="4" t="s">
        <v>24</v>
      </c>
      <c r="B9" s="40" t="s">
        <v>127</v>
      </c>
      <c r="C9" s="52" t="s">
        <v>219</v>
      </c>
    </row>
    <row r="10" spans="1:17" x14ac:dyDescent="0.25">
      <c r="A10" s="4" t="s">
        <v>24</v>
      </c>
      <c r="B10" s="40" t="s">
        <v>55</v>
      </c>
      <c r="C10" s="52" t="s">
        <v>219</v>
      </c>
    </row>
    <row r="11" spans="1:17" x14ac:dyDescent="0.25">
      <c r="A11" s="6" t="s">
        <v>24</v>
      </c>
      <c r="B11" s="40" t="s">
        <v>134</v>
      </c>
      <c r="C11" s="13"/>
    </row>
    <row r="12" spans="1:17" x14ac:dyDescent="0.25">
      <c r="A12" s="4" t="s">
        <v>24</v>
      </c>
      <c r="B12" s="43" t="s">
        <v>172</v>
      </c>
      <c r="C12" s="15" t="s">
        <v>205</v>
      </c>
      <c r="D12" s="15" t="s">
        <v>205</v>
      </c>
      <c r="E12" s="15" t="s">
        <v>205</v>
      </c>
      <c r="F12" s="15" t="s">
        <v>205</v>
      </c>
      <c r="G12" s="15" t="s">
        <v>205</v>
      </c>
      <c r="H12" s="15" t="s">
        <v>205</v>
      </c>
      <c r="I12" s="15" t="s">
        <v>205</v>
      </c>
      <c r="J12" s="15" t="s">
        <v>205</v>
      </c>
      <c r="K12" s="15" t="s">
        <v>205</v>
      </c>
      <c r="L12" s="15" t="s">
        <v>205</v>
      </c>
      <c r="M12" s="15" t="s">
        <v>205</v>
      </c>
      <c r="N12" s="15" t="s">
        <v>205</v>
      </c>
      <c r="O12" s="15" t="s">
        <v>205</v>
      </c>
      <c r="P12" s="15" t="s">
        <v>205</v>
      </c>
      <c r="Q12" s="15" t="s">
        <v>205</v>
      </c>
    </row>
    <row r="13" spans="1:17" x14ac:dyDescent="0.25">
      <c r="A13" s="4" t="s">
        <v>24</v>
      </c>
      <c r="B13" s="43" t="s">
        <v>127</v>
      </c>
      <c r="C13" s="52" t="s">
        <v>219</v>
      </c>
    </row>
    <row r="14" spans="1:17" x14ac:dyDescent="0.25">
      <c r="A14" s="4" t="s">
        <v>24</v>
      </c>
      <c r="B14" s="43" t="s">
        <v>175</v>
      </c>
      <c r="C14" s="28" t="s">
        <v>370</v>
      </c>
      <c r="D14" s="28" t="s">
        <v>369</v>
      </c>
      <c r="E14" s="28" t="s">
        <v>342</v>
      </c>
      <c r="F14" s="28" t="s">
        <v>378</v>
      </c>
      <c r="G14" s="28" t="s">
        <v>371</v>
      </c>
      <c r="H14" s="28" t="s">
        <v>372</v>
      </c>
      <c r="I14" s="28" t="s">
        <v>373</v>
      </c>
      <c r="J14" s="28" t="s">
        <v>303</v>
      </c>
      <c r="K14" s="28" t="s">
        <v>281</v>
      </c>
      <c r="L14" s="28" t="s">
        <v>248</v>
      </c>
      <c r="M14" s="28" t="s">
        <v>374</v>
      </c>
      <c r="N14" s="28" t="s">
        <v>254</v>
      </c>
      <c r="O14" s="28" t="s">
        <v>375</v>
      </c>
      <c r="P14" s="28" t="s">
        <v>255</v>
      </c>
      <c r="Q14" s="28" t="s">
        <v>340</v>
      </c>
    </row>
    <row r="15" spans="1:17" x14ac:dyDescent="0.25">
      <c r="A15" s="4" t="s">
        <v>24</v>
      </c>
      <c r="B15" s="43" t="s">
        <v>176</v>
      </c>
      <c r="C15" s="28" t="s">
        <v>370</v>
      </c>
      <c r="D15" s="28" t="s">
        <v>369</v>
      </c>
      <c r="E15" s="28" t="s">
        <v>342</v>
      </c>
      <c r="F15" s="28" t="s">
        <v>378</v>
      </c>
      <c r="G15" s="28" t="s">
        <v>371</v>
      </c>
      <c r="H15" s="28" t="s">
        <v>372</v>
      </c>
      <c r="I15" s="28" t="s">
        <v>373</v>
      </c>
      <c r="J15" s="28" t="s">
        <v>303</v>
      </c>
      <c r="K15" s="28" t="s">
        <v>281</v>
      </c>
      <c r="L15" s="28" t="s">
        <v>248</v>
      </c>
      <c r="M15" s="28" t="s">
        <v>374</v>
      </c>
      <c r="N15" s="28" t="s">
        <v>254</v>
      </c>
      <c r="O15" s="28" t="s">
        <v>375</v>
      </c>
      <c r="P15" s="28" t="s">
        <v>255</v>
      </c>
      <c r="Q15" s="28" t="s">
        <v>340</v>
      </c>
    </row>
    <row r="16" spans="1:17" x14ac:dyDescent="0.25">
      <c r="A16" s="4" t="s">
        <v>24</v>
      </c>
      <c r="B16" s="43" t="s">
        <v>177</v>
      </c>
      <c r="C16" s="13" t="s">
        <v>220</v>
      </c>
      <c r="D16" s="13" t="s">
        <v>220</v>
      </c>
      <c r="E16" s="13" t="s">
        <v>220</v>
      </c>
      <c r="F16" s="13" t="s">
        <v>220</v>
      </c>
      <c r="G16" s="13" t="s">
        <v>220</v>
      </c>
      <c r="H16" s="13" t="s">
        <v>220</v>
      </c>
      <c r="I16" s="13" t="s">
        <v>220</v>
      </c>
      <c r="J16" s="13" t="s">
        <v>220</v>
      </c>
      <c r="K16" s="13" t="s">
        <v>220</v>
      </c>
      <c r="L16" s="13" t="s">
        <v>220</v>
      </c>
      <c r="M16" s="13" t="s">
        <v>220</v>
      </c>
      <c r="N16" s="13" t="s">
        <v>220</v>
      </c>
      <c r="O16" s="13" t="s">
        <v>220</v>
      </c>
      <c r="P16" s="13" t="s">
        <v>220</v>
      </c>
      <c r="Q16" s="13" t="s">
        <v>220</v>
      </c>
    </row>
    <row r="17" spans="1:17" x14ac:dyDescent="0.25">
      <c r="A17" s="6" t="s">
        <v>24</v>
      </c>
      <c r="B17" s="43" t="s">
        <v>178</v>
      </c>
      <c r="C17" s="13"/>
      <c r="D17" s="13"/>
      <c r="E17" s="13" t="s">
        <v>336</v>
      </c>
      <c r="F17" s="13" t="s">
        <v>336</v>
      </c>
      <c r="G17" s="13"/>
      <c r="H17" s="13" t="s">
        <v>338</v>
      </c>
      <c r="I17" s="13" t="s">
        <v>336</v>
      </c>
      <c r="J17" s="13"/>
      <c r="K17" s="13"/>
      <c r="L17" s="13"/>
      <c r="M17" s="13"/>
      <c r="N17" s="13"/>
      <c r="O17" s="13"/>
      <c r="P17" s="13"/>
      <c r="Q17" s="13"/>
    </row>
    <row r="18" spans="1:17" x14ac:dyDescent="0.25">
      <c r="A18" s="6" t="s">
        <v>24</v>
      </c>
      <c r="B18" s="43" t="s">
        <v>179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x14ac:dyDescent="0.25">
      <c r="A19" s="6" t="s">
        <v>24</v>
      </c>
      <c r="B19" s="43" t="s">
        <v>180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x14ac:dyDescent="0.25">
      <c r="A20" s="4" t="s">
        <v>24</v>
      </c>
      <c r="B20" s="43" t="s">
        <v>181</v>
      </c>
      <c r="C20" s="13" t="s">
        <v>221</v>
      </c>
      <c r="D20" s="13" t="s">
        <v>221</v>
      </c>
      <c r="E20" s="13" t="s">
        <v>221</v>
      </c>
      <c r="F20" s="13" t="s">
        <v>221</v>
      </c>
      <c r="G20" s="13" t="s">
        <v>221</v>
      </c>
      <c r="H20" s="13" t="s">
        <v>221</v>
      </c>
      <c r="I20" s="13" t="s">
        <v>221</v>
      </c>
      <c r="J20" s="13" t="s">
        <v>221</v>
      </c>
      <c r="K20" s="13" t="s">
        <v>221</v>
      </c>
      <c r="L20" s="13" t="s">
        <v>221</v>
      </c>
      <c r="M20" s="13" t="s">
        <v>256</v>
      </c>
      <c r="N20" s="13" t="s">
        <v>257</v>
      </c>
      <c r="O20" s="13" t="s">
        <v>258</v>
      </c>
      <c r="P20" s="13" t="s">
        <v>259</v>
      </c>
      <c r="Q20" s="13" t="s">
        <v>260</v>
      </c>
    </row>
    <row r="21" spans="1:17" x14ac:dyDescent="0.25">
      <c r="A21" s="4" t="s">
        <v>24</v>
      </c>
      <c r="B21" s="43" t="s">
        <v>182</v>
      </c>
      <c r="C21" s="13" t="s">
        <v>32</v>
      </c>
      <c r="D21" s="13" t="s">
        <v>147</v>
      </c>
      <c r="E21" s="13" t="s">
        <v>32</v>
      </c>
      <c r="F21" s="13" t="s">
        <v>32</v>
      </c>
      <c r="G21" s="13" t="s">
        <v>147</v>
      </c>
      <c r="H21" s="13" t="s">
        <v>147</v>
      </c>
      <c r="I21" s="13" t="s">
        <v>32</v>
      </c>
      <c r="J21" s="13" t="s">
        <v>147</v>
      </c>
      <c r="K21" s="13" t="s">
        <v>32</v>
      </c>
      <c r="L21" s="13" t="s">
        <v>147</v>
      </c>
      <c r="M21" s="13" t="s">
        <v>147</v>
      </c>
      <c r="N21" s="13" t="s">
        <v>147</v>
      </c>
      <c r="O21" s="13" t="s">
        <v>147</v>
      </c>
      <c r="P21" s="13" t="s">
        <v>147</v>
      </c>
      <c r="Q21" s="13" t="s">
        <v>147</v>
      </c>
    </row>
    <row r="22" spans="1:17" x14ac:dyDescent="0.25">
      <c r="A22" s="6" t="s">
        <v>24</v>
      </c>
      <c r="B22" s="43" t="s">
        <v>183</v>
      </c>
      <c r="C22" s="13" t="s">
        <v>222</v>
      </c>
      <c r="D22" s="13" t="s">
        <v>222</v>
      </c>
      <c r="E22" s="13"/>
      <c r="F22" s="13"/>
      <c r="G22" s="13"/>
      <c r="H22" s="13"/>
      <c r="I22" s="13"/>
      <c r="J22" s="13"/>
      <c r="K22" s="13" t="s">
        <v>222</v>
      </c>
      <c r="L22" s="13" t="s">
        <v>222</v>
      </c>
      <c r="M22" s="13" t="s">
        <v>222</v>
      </c>
      <c r="N22" s="13" t="s">
        <v>222</v>
      </c>
      <c r="O22" s="13"/>
      <c r="P22" s="13" t="s">
        <v>222</v>
      </c>
      <c r="Q22" s="13"/>
    </row>
    <row r="23" spans="1:17" ht="30" x14ac:dyDescent="0.25">
      <c r="A23" s="6" t="s">
        <v>24</v>
      </c>
      <c r="B23" s="43" t="s">
        <v>184</v>
      </c>
      <c r="C23" s="13" t="s">
        <v>223</v>
      </c>
      <c r="D23" s="13" t="s">
        <v>223</v>
      </c>
      <c r="E23" s="13"/>
      <c r="F23" s="13" t="s">
        <v>223</v>
      </c>
      <c r="G23" s="13"/>
      <c r="H23" s="13" t="s">
        <v>223</v>
      </c>
      <c r="I23" s="13" t="s">
        <v>223</v>
      </c>
      <c r="J23" s="13" t="s">
        <v>223</v>
      </c>
      <c r="K23" s="13"/>
      <c r="L23" s="13"/>
      <c r="M23" s="13" t="s">
        <v>345</v>
      </c>
      <c r="N23" s="13" t="s">
        <v>345</v>
      </c>
      <c r="O23" s="13"/>
      <c r="P23" s="13" t="s">
        <v>345</v>
      </c>
      <c r="Q23" s="13" t="s">
        <v>345</v>
      </c>
    </row>
    <row r="24" spans="1:17" x14ac:dyDescent="0.25">
      <c r="A24" s="6" t="s">
        <v>24</v>
      </c>
      <c r="B24" s="43" t="s">
        <v>185</v>
      </c>
      <c r="C24" s="13" t="s">
        <v>224</v>
      </c>
      <c r="D24" s="13" t="s">
        <v>224</v>
      </c>
      <c r="E24" s="13"/>
      <c r="F24" s="13" t="s">
        <v>224</v>
      </c>
      <c r="G24" s="13"/>
      <c r="H24" s="13" t="s">
        <v>224</v>
      </c>
      <c r="I24" s="13" t="s">
        <v>224</v>
      </c>
      <c r="J24" s="13" t="s">
        <v>224</v>
      </c>
      <c r="K24" s="13"/>
      <c r="L24" s="13"/>
      <c r="M24" s="13" t="s">
        <v>27</v>
      </c>
      <c r="N24" s="13" t="s">
        <v>261</v>
      </c>
      <c r="O24" s="13"/>
      <c r="P24" s="13" t="s">
        <v>262</v>
      </c>
      <c r="Q24" s="13" t="s">
        <v>263</v>
      </c>
    </row>
    <row r="25" spans="1:17" ht="30" x14ac:dyDescent="0.25">
      <c r="A25" s="6" t="s">
        <v>24</v>
      </c>
      <c r="B25" s="43" t="s">
        <v>186</v>
      </c>
      <c r="C25" s="13" t="s">
        <v>225</v>
      </c>
      <c r="D25" s="13" t="s">
        <v>225</v>
      </c>
      <c r="E25" s="13"/>
      <c r="F25" s="13" t="s">
        <v>225</v>
      </c>
      <c r="G25" s="13"/>
      <c r="H25" s="13" t="s">
        <v>225</v>
      </c>
      <c r="I25" s="13"/>
      <c r="J25" s="13" t="s">
        <v>225</v>
      </c>
      <c r="K25" s="13"/>
      <c r="L25" s="13"/>
      <c r="M25" s="13" t="s">
        <v>346</v>
      </c>
      <c r="N25" s="13" t="s">
        <v>346</v>
      </c>
      <c r="O25" s="13"/>
      <c r="P25" s="13" t="s">
        <v>346</v>
      </c>
      <c r="Q25" s="13" t="s">
        <v>346</v>
      </c>
    </row>
    <row r="26" spans="1:17" ht="30" x14ac:dyDescent="0.25">
      <c r="A26" s="6" t="s">
        <v>24</v>
      </c>
      <c r="B26" s="43" t="s">
        <v>187</v>
      </c>
      <c r="C26" s="13" t="s">
        <v>226</v>
      </c>
      <c r="D26" s="13" t="s">
        <v>226</v>
      </c>
      <c r="E26" s="13"/>
      <c r="F26" s="13" t="s">
        <v>226</v>
      </c>
      <c r="G26" s="13"/>
      <c r="H26" s="13" t="s">
        <v>226</v>
      </c>
      <c r="I26" s="13" t="s">
        <v>226</v>
      </c>
      <c r="J26" s="13"/>
      <c r="K26" s="13"/>
      <c r="L26" s="13"/>
      <c r="M26" s="13" t="s">
        <v>347</v>
      </c>
      <c r="N26" s="13" t="s">
        <v>347</v>
      </c>
      <c r="O26" s="13"/>
      <c r="P26" s="13"/>
      <c r="Q26" s="13" t="s">
        <v>347</v>
      </c>
    </row>
    <row r="27" spans="1:17" ht="30" x14ac:dyDescent="0.25">
      <c r="A27" s="6" t="s">
        <v>24</v>
      </c>
      <c r="B27" s="43" t="s">
        <v>188</v>
      </c>
      <c r="C27" s="13" t="s">
        <v>227</v>
      </c>
      <c r="D27" s="13" t="s">
        <v>227</v>
      </c>
      <c r="E27" s="13"/>
      <c r="F27" s="13" t="s">
        <v>227</v>
      </c>
      <c r="G27" s="13"/>
      <c r="H27" s="13" t="s">
        <v>227</v>
      </c>
      <c r="I27" s="13"/>
      <c r="J27" s="13" t="s">
        <v>227</v>
      </c>
      <c r="K27" s="13"/>
      <c r="L27" s="13"/>
      <c r="M27" s="13" t="s">
        <v>264</v>
      </c>
      <c r="N27" s="13" t="s">
        <v>265</v>
      </c>
      <c r="O27" s="13"/>
      <c r="P27" s="13"/>
      <c r="Q27" s="13" t="s">
        <v>271</v>
      </c>
    </row>
    <row r="28" spans="1:17" ht="30" x14ac:dyDescent="0.25">
      <c r="A28" s="6" t="s">
        <v>24</v>
      </c>
      <c r="B28" s="43" t="s">
        <v>189</v>
      </c>
      <c r="C28" s="13" t="s">
        <v>228</v>
      </c>
      <c r="D28" s="13" t="s">
        <v>228</v>
      </c>
      <c r="E28" s="13"/>
      <c r="F28" s="13" t="s">
        <v>228</v>
      </c>
      <c r="G28" s="13"/>
      <c r="H28" s="13" t="s">
        <v>228</v>
      </c>
      <c r="I28" s="13" t="s">
        <v>228</v>
      </c>
      <c r="J28" s="13" t="s">
        <v>228</v>
      </c>
      <c r="K28" s="13"/>
      <c r="L28" s="13"/>
      <c r="M28" s="13" t="s">
        <v>265</v>
      </c>
      <c r="N28" s="13" t="s">
        <v>270</v>
      </c>
      <c r="O28" s="13"/>
      <c r="P28" s="13"/>
      <c r="Q28" s="13" t="s">
        <v>272</v>
      </c>
    </row>
    <row r="29" spans="1:17" ht="30" x14ac:dyDescent="0.25">
      <c r="A29" s="6" t="s">
        <v>24</v>
      </c>
      <c r="B29" s="44" t="s">
        <v>190</v>
      </c>
      <c r="C29" s="13" t="s">
        <v>229</v>
      </c>
      <c r="D29" s="13" t="s">
        <v>229</v>
      </c>
      <c r="E29" s="13"/>
      <c r="F29" s="13" t="s">
        <v>229</v>
      </c>
      <c r="G29" s="13"/>
      <c r="H29" s="13" t="s">
        <v>229</v>
      </c>
      <c r="I29" s="13" t="s">
        <v>229</v>
      </c>
      <c r="J29" s="13" t="s">
        <v>229</v>
      </c>
      <c r="K29" s="13"/>
      <c r="L29" s="13"/>
      <c r="M29" s="13" t="s">
        <v>348</v>
      </c>
      <c r="N29" s="13" t="s">
        <v>348</v>
      </c>
      <c r="O29" s="13"/>
      <c r="P29" s="13" t="s">
        <v>348</v>
      </c>
      <c r="Q29" s="13" t="s">
        <v>349</v>
      </c>
    </row>
    <row r="30" spans="1:17" x14ac:dyDescent="0.25">
      <c r="A30" s="6" t="s">
        <v>24</v>
      </c>
      <c r="B30" s="43" t="s">
        <v>191</v>
      </c>
      <c r="C30" s="13" t="s">
        <v>53</v>
      </c>
      <c r="D30" s="13" t="s">
        <v>53</v>
      </c>
      <c r="E30" s="13"/>
      <c r="F30" s="13" t="s">
        <v>53</v>
      </c>
      <c r="G30" s="13"/>
      <c r="H30" s="13" t="s">
        <v>53</v>
      </c>
      <c r="I30" s="13" t="s">
        <v>53</v>
      </c>
      <c r="J30" s="13"/>
      <c r="K30" s="13"/>
      <c r="L30" s="13"/>
      <c r="M30" s="13" t="s">
        <v>53</v>
      </c>
      <c r="N30" s="13" t="s">
        <v>53</v>
      </c>
      <c r="O30" s="13"/>
      <c r="P30" s="13" t="s">
        <v>53</v>
      </c>
      <c r="Q30" s="13" t="s">
        <v>53</v>
      </c>
    </row>
    <row r="31" spans="1:17" x14ac:dyDescent="0.25">
      <c r="A31" s="6" t="s">
        <v>24</v>
      </c>
      <c r="B31" s="43" t="s">
        <v>192</v>
      </c>
      <c r="C31" s="13" t="s">
        <v>230</v>
      </c>
      <c r="D31" s="13" t="s">
        <v>230</v>
      </c>
      <c r="E31" s="13"/>
      <c r="F31" s="13" t="s">
        <v>230</v>
      </c>
      <c r="G31" s="13"/>
      <c r="H31" s="13" t="s">
        <v>230</v>
      </c>
      <c r="I31" s="13"/>
      <c r="J31" s="13" t="s">
        <v>230</v>
      </c>
      <c r="K31" s="13"/>
      <c r="L31" s="13"/>
      <c r="M31" s="13" t="s">
        <v>266</v>
      </c>
      <c r="N31" s="13" t="s">
        <v>273</v>
      </c>
      <c r="O31" s="13"/>
      <c r="P31" s="13" t="s">
        <v>274</v>
      </c>
      <c r="Q31" s="13" t="s">
        <v>275</v>
      </c>
    </row>
    <row r="32" spans="1:17" x14ac:dyDescent="0.25">
      <c r="A32" s="6" t="s">
        <v>24</v>
      </c>
      <c r="B32" s="43" t="s">
        <v>193</v>
      </c>
      <c r="C32" s="13" t="s">
        <v>231</v>
      </c>
      <c r="D32" s="13" t="s">
        <v>231</v>
      </c>
      <c r="E32" s="13"/>
      <c r="F32" s="13"/>
      <c r="G32" s="13"/>
      <c r="H32" s="13"/>
      <c r="I32" s="13" t="s">
        <v>231</v>
      </c>
      <c r="J32" s="13" t="s">
        <v>231</v>
      </c>
      <c r="K32" s="13" t="s">
        <v>231</v>
      </c>
      <c r="L32" s="13" t="s">
        <v>231</v>
      </c>
      <c r="M32" s="13" t="s">
        <v>267</v>
      </c>
      <c r="N32" s="13" t="s">
        <v>268</v>
      </c>
      <c r="O32" s="13"/>
      <c r="P32" s="13" t="s">
        <v>269</v>
      </c>
      <c r="Q32" s="13"/>
    </row>
    <row r="33" spans="1:17" x14ac:dyDescent="0.25">
      <c r="A33" s="6" t="s">
        <v>24</v>
      </c>
      <c r="B33" s="43" t="s">
        <v>194</v>
      </c>
      <c r="C33" s="13" t="s">
        <v>232</v>
      </c>
      <c r="D33" s="13" t="s">
        <v>232</v>
      </c>
      <c r="E33" s="13"/>
      <c r="F33" s="13"/>
      <c r="G33" s="13"/>
      <c r="H33" s="13"/>
      <c r="I33" s="13" t="s">
        <v>232</v>
      </c>
      <c r="J33" s="13" t="s">
        <v>232</v>
      </c>
      <c r="K33" s="13" t="s">
        <v>232</v>
      </c>
      <c r="L33" s="13" t="s">
        <v>232</v>
      </c>
      <c r="M33" s="13" t="s">
        <v>232</v>
      </c>
      <c r="N33" s="13" t="s">
        <v>232</v>
      </c>
      <c r="O33" s="13"/>
      <c r="P33" s="13" t="s">
        <v>232</v>
      </c>
      <c r="Q33" s="13"/>
    </row>
    <row r="34" spans="1:17" ht="45" x14ac:dyDescent="0.25">
      <c r="A34" s="6" t="s">
        <v>24</v>
      </c>
      <c r="B34" s="43" t="s">
        <v>195</v>
      </c>
      <c r="C34" s="31" t="s">
        <v>233</v>
      </c>
      <c r="D34" s="13" t="s">
        <v>233</v>
      </c>
      <c r="E34" s="13"/>
      <c r="F34" s="13"/>
      <c r="G34" s="13"/>
      <c r="H34" s="13"/>
      <c r="I34" s="13" t="s">
        <v>233</v>
      </c>
      <c r="J34" s="13" t="s">
        <v>233</v>
      </c>
      <c r="K34" s="13" t="s">
        <v>233</v>
      </c>
      <c r="L34" s="13" t="s">
        <v>233</v>
      </c>
      <c r="M34" s="13" t="s">
        <v>233</v>
      </c>
      <c r="N34" s="13" t="s">
        <v>233</v>
      </c>
      <c r="O34" s="13"/>
      <c r="P34" s="13" t="s">
        <v>233</v>
      </c>
      <c r="Q34" s="13"/>
    </row>
    <row r="35" spans="1:17" x14ac:dyDescent="0.25">
      <c r="A35" s="6" t="s">
        <v>24</v>
      </c>
      <c r="B35" s="43" t="s">
        <v>196</v>
      </c>
      <c r="C35" s="13" t="s">
        <v>234</v>
      </c>
      <c r="D35" s="13" t="s">
        <v>234</v>
      </c>
      <c r="E35" s="13" t="s">
        <v>234</v>
      </c>
      <c r="F35" s="13" t="s">
        <v>234</v>
      </c>
      <c r="G35" s="13" t="s">
        <v>234</v>
      </c>
      <c r="H35" s="13" t="s">
        <v>234</v>
      </c>
      <c r="I35" s="13" t="s">
        <v>234</v>
      </c>
      <c r="J35" s="13" t="s">
        <v>234</v>
      </c>
      <c r="K35" s="13" t="s">
        <v>234</v>
      </c>
      <c r="L35" s="13" t="s">
        <v>234</v>
      </c>
      <c r="M35" s="13" t="s">
        <v>234</v>
      </c>
      <c r="N35" s="13" t="s">
        <v>234</v>
      </c>
      <c r="O35" s="13" t="s">
        <v>234</v>
      </c>
      <c r="P35" s="13" t="s">
        <v>234</v>
      </c>
      <c r="Q35" s="13" t="s">
        <v>234</v>
      </c>
    </row>
    <row r="36" spans="1:17" x14ac:dyDescent="0.25">
      <c r="A36" s="4" t="s">
        <v>24</v>
      </c>
      <c r="B36" s="46" t="s">
        <v>172</v>
      </c>
      <c r="C36" s="15" t="s">
        <v>206</v>
      </c>
      <c r="D36" s="15" t="s">
        <v>206</v>
      </c>
      <c r="E36" s="15" t="s">
        <v>206</v>
      </c>
      <c r="F36" s="15" t="s">
        <v>206</v>
      </c>
      <c r="G36" s="15" t="s">
        <v>206</v>
      </c>
      <c r="H36" s="15" t="s">
        <v>206</v>
      </c>
      <c r="I36" s="15" t="s">
        <v>206</v>
      </c>
      <c r="J36" s="15" t="s">
        <v>206</v>
      </c>
      <c r="K36" s="15" t="s">
        <v>206</v>
      </c>
      <c r="L36" s="15" t="s">
        <v>206</v>
      </c>
      <c r="M36" s="15" t="s">
        <v>206</v>
      </c>
      <c r="N36" s="15" t="s">
        <v>206</v>
      </c>
      <c r="O36" s="15" t="s">
        <v>206</v>
      </c>
      <c r="P36" s="15" t="s">
        <v>206</v>
      </c>
      <c r="Q36" s="15" t="s">
        <v>206</v>
      </c>
    </row>
    <row r="37" spans="1:17" x14ac:dyDescent="0.25">
      <c r="A37" s="4" t="s">
        <v>24</v>
      </c>
      <c r="B37" s="47" t="s">
        <v>127</v>
      </c>
      <c r="C37" s="52" t="s">
        <v>219</v>
      </c>
    </row>
    <row r="38" spans="1:17" x14ac:dyDescent="0.25">
      <c r="A38" s="4" t="s">
        <v>24</v>
      </c>
      <c r="B38" s="47" t="s">
        <v>197</v>
      </c>
      <c r="C38" s="13" t="s">
        <v>235</v>
      </c>
      <c r="D38" s="13" t="s">
        <v>249</v>
      </c>
      <c r="E38" s="13" t="s">
        <v>244</v>
      </c>
      <c r="F38" s="13" t="s">
        <v>288</v>
      </c>
      <c r="G38" s="13" t="s">
        <v>282</v>
      </c>
      <c r="H38" s="13" t="s">
        <v>283</v>
      </c>
      <c r="I38" s="13" t="s">
        <v>235</v>
      </c>
      <c r="J38" s="13" t="s">
        <v>284</v>
      </c>
      <c r="K38" s="13" t="s">
        <v>285</v>
      </c>
      <c r="L38" s="13" t="s">
        <v>286</v>
      </c>
      <c r="M38" s="13" t="s">
        <v>287</v>
      </c>
      <c r="N38" s="13" t="s">
        <v>249</v>
      </c>
      <c r="O38" s="13" t="s">
        <v>249</v>
      </c>
      <c r="P38" s="13" t="s">
        <v>249</v>
      </c>
      <c r="Q38" s="13" t="s">
        <v>249</v>
      </c>
    </row>
    <row r="39" spans="1:17" x14ac:dyDescent="0.25">
      <c r="A39" s="6" t="s">
        <v>24</v>
      </c>
      <c r="B39" s="47" t="s">
        <v>198</v>
      </c>
      <c r="C39" s="13" t="s">
        <v>32</v>
      </c>
      <c r="D39" s="13" t="s">
        <v>147</v>
      </c>
      <c r="E39" s="13" t="s">
        <v>147</v>
      </c>
      <c r="F39" s="13" t="s">
        <v>147</v>
      </c>
      <c r="G39" s="13" t="s">
        <v>147</v>
      </c>
      <c r="H39" s="13" t="s">
        <v>147</v>
      </c>
      <c r="I39" s="13" t="s">
        <v>147</v>
      </c>
      <c r="J39" s="13" t="s">
        <v>147</v>
      </c>
      <c r="K39" s="13" t="s">
        <v>147</v>
      </c>
      <c r="L39" s="13" t="s">
        <v>147</v>
      </c>
      <c r="M39" s="13" t="s">
        <v>147</v>
      </c>
      <c r="N39" s="13" t="s">
        <v>147</v>
      </c>
      <c r="O39" s="13" t="s">
        <v>147</v>
      </c>
      <c r="P39" s="13" t="s">
        <v>147</v>
      </c>
      <c r="Q39" s="13" t="s">
        <v>147</v>
      </c>
    </row>
    <row r="40" spans="1:17" x14ac:dyDescent="0.25">
      <c r="A40" s="6" t="s">
        <v>24</v>
      </c>
      <c r="B40" s="47" t="s">
        <v>178</v>
      </c>
      <c r="C40" s="13"/>
      <c r="D40" s="13" t="s">
        <v>336</v>
      </c>
      <c r="E40" s="13"/>
      <c r="F40" s="13" t="s">
        <v>337</v>
      </c>
      <c r="G40" s="13" t="s">
        <v>336</v>
      </c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x14ac:dyDescent="0.25">
      <c r="A41" s="6" t="s">
        <v>24</v>
      </c>
      <c r="B41" s="47" t="s">
        <v>179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x14ac:dyDescent="0.25">
      <c r="A42" s="6" t="s">
        <v>24</v>
      </c>
      <c r="B42" s="47" t="s">
        <v>180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x14ac:dyDescent="0.25">
      <c r="A43" s="4" t="s">
        <v>24</v>
      </c>
      <c r="B43" s="41" t="s">
        <v>172</v>
      </c>
      <c r="C43" s="15" t="s">
        <v>207</v>
      </c>
    </row>
    <row r="44" spans="1:17" x14ac:dyDescent="0.25">
      <c r="A44" s="4" t="s">
        <v>24</v>
      </c>
      <c r="B44" s="41" t="s">
        <v>127</v>
      </c>
      <c r="C44" s="52" t="s">
        <v>219</v>
      </c>
    </row>
    <row r="45" spans="1:17" x14ac:dyDescent="0.25">
      <c r="A45" s="4" t="s">
        <v>24</v>
      </c>
      <c r="B45" s="41" t="s">
        <v>199</v>
      </c>
      <c r="C45" s="52" t="s">
        <v>236</v>
      </c>
    </row>
    <row r="46" spans="1:17" x14ac:dyDescent="0.25">
      <c r="A46" s="4" t="s">
        <v>24</v>
      </c>
      <c r="B46" s="48" t="s">
        <v>172</v>
      </c>
      <c r="C46" s="15" t="s">
        <v>208</v>
      </c>
    </row>
    <row r="47" spans="1:17" x14ac:dyDescent="0.25">
      <c r="A47" s="4" t="s">
        <v>24</v>
      </c>
      <c r="B47" s="48" t="s">
        <v>127</v>
      </c>
      <c r="C47" s="52" t="s">
        <v>219</v>
      </c>
    </row>
    <row r="48" spans="1:17" x14ac:dyDescent="0.25">
      <c r="A48" s="4" t="s">
        <v>24</v>
      </c>
      <c r="B48" s="48" t="s">
        <v>55</v>
      </c>
      <c r="C48" s="52" t="s">
        <v>219</v>
      </c>
    </row>
    <row r="49" spans="1:3" x14ac:dyDescent="0.25">
      <c r="A49" s="4" t="s">
        <v>24</v>
      </c>
      <c r="B49" s="48" t="s">
        <v>200</v>
      </c>
      <c r="C49" s="52" t="s">
        <v>236</v>
      </c>
    </row>
    <row r="50" spans="1:3" x14ac:dyDescent="0.25">
      <c r="A50" s="4" t="s">
        <v>24</v>
      </c>
      <c r="B50" s="49" t="s">
        <v>172</v>
      </c>
      <c r="C50" s="15" t="s">
        <v>209</v>
      </c>
    </row>
    <row r="51" spans="1:3" x14ac:dyDescent="0.25">
      <c r="A51" s="4" t="s">
        <v>24</v>
      </c>
      <c r="B51" s="49" t="s">
        <v>55</v>
      </c>
      <c r="C51" s="52" t="s">
        <v>219</v>
      </c>
    </row>
    <row r="52" spans="1:3" x14ac:dyDescent="0.25">
      <c r="A52" s="4" t="s">
        <v>24</v>
      </c>
      <c r="B52" s="49" t="s">
        <v>201</v>
      </c>
      <c r="C52" s="52" t="s">
        <v>236</v>
      </c>
    </row>
    <row r="53" spans="1:3" x14ac:dyDescent="0.25">
      <c r="A53" s="4" t="s">
        <v>24</v>
      </c>
      <c r="B53" s="42" t="s">
        <v>172</v>
      </c>
      <c r="C53" s="15" t="s">
        <v>210</v>
      </c>
    </row>
    <row r="54" spans="1:3" x14ac:dyDescent="0.25">
      <c r="A54" s="6" t="s">
        <v>24</v>
      </c>
      <c r="B54" s="42" t="s">
        <v>173</v>
      </c>
      <c r="C54" s="13" t="str">
        <f>C4</f>
        <v>987654321</v>
      </c>
    </row>
    <row r="55" spans="1:3" x14ac:dyDescent="0.25">
      <c r="A55" s="4" t="s">
        <v>24</v>
      </c>
      <c r="B55" s="42" t="s">
        <v>202</v>
      </c>
      <c r="C55" s="52" t="s">
        <v>236</v>
      </c>
    </row>
  </sheetData>
  <dataValidations count="12">
    <dataValidation type="list" showErrorMessage="1" errorTitle="!!Field Selection Invalid!!" error="Only Fields to be selected are 'Have' &amp; 'Don't Have'" sqref="A2:A55">
      <formula1>"Have, Don't Have"</formula1>
    </dataValidation>
    <dataValidation type="list" allowBlank="1" showInputMessage="1" showErrorMessage="1" sqref="C2">
      <formula1>"AAA"</formula1>
    </dataValidation>
    <dataValidation type="list" allowBlank="1" showInputMessage="1" showErrorMessage="1" sqref="C8">
      <formula1>"BBB"</formula1>
    </dataValidation>
    <dataValidation type="list" allowBlank="1" showInputMessage="1" showErrorMessage="1" sqref="C12:Q12">
      <formula1>"CCC"</formula1>
    </dataValidation>
    <dataValidation type="list" allowBlank="1" showInputMessage="1" showErrorMessage="1" sqref="C36:Q36">
      <formula1>"DDD"</formula1>
    </dataValidation>
    <dataValidation type="list" allowBlank="1" showInputMessage="1" showErrorMessage="1" sqref="C43">
      <formula1>"WWW"</formula1>
    </dataValidation>
    <dataValidation type="list" allowBlank="1" showInputMessage="1" showErrorMessage="1" sqref="C46">
      <formula1>"XXX"</formula1>
    </dataValidation>
    <dataValidation type="list" allowBlank="1" showInputMessage="1" showErrorMessage="1" sqref="C50">
      <formula1>"YYY"</formula1>
    </dataValidation>
    <dataValidation type="list" allowBlank="1" showInputMessage="1" showErrorMessage="1" sqref="C53">
      <formula1>"ZZZ"</formula1>
    </dataValidation>
    <dataValidation type="list" allowBlank="1" showInputMessage="1" showErrorMessage="1" sqref="C11">
      <formula1>"IMGNX"</formula1>
    </dataValidation>
    <dataValidation type="list" allowBlank="1" showInputMessage="1" showErrorMessage="1" sqref="C16:Q16">
      <formula1>"IP, OP, SNF, HOP"</formula1>
    </dataValidation>
    <dataValidation type="list" allowBlank="1" showInputMessage="1" showErrorMessage="1" sqref="C21:Q21 C39:Q39">
      <formula1>"Y, N"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66"/>
  <sheetViews>
    <sheetView workbookViewId="0">
      <pane ySplit="1" topLeftCell="A2" activePane="bottomLeft" state="frozen"/>
      <selection activeCell="F15" sqref="F15"/>
      <selection pane="bottomLeft" activeCell="F15" sqref="F15"/>
    </sheetView>
  </sheetViews>
  <sheetFormatPr defaultRowHeight="15" x14ac:dyDescent="0.25"/>
  <cols>
    <col min="1" max="1" width="15.7109375" customWidth="1"/>
    <col min="2" max="2" width="32.7109375" customWidth="1"/>
    <col min="3" max="4" width="22" bestFit="1" customWidth="1"/>
  </cols>
  <sheetData>
    <row r="1" spans="1:4" x14ac:dyDescent="0.25">
      <c r="A1" s="9" t="s">
        <v>23</v>
      </c>
      <c r="B1" s="8" t="s">
        <v>1</v>
      </c>
      <c r="C1" s="8" t="s">
        <v>22</v>
      </c>
      <c r="D1" s="29" t="s">
        <v>118</v>
      </c>
    </row>
    <row r="2" spans="1:4" x14ac:dyDescent="0.25">
      <c r="A2" s="4" t="s">
        <v>24</v>
      </c>
      <c r="B2" s="3" t="s">
        <v>55</v>
      </c>
      <c r="C2" s="28" t="s">
        <v>384</v>
      </c>
      <c r="D2" s="31" t="e">
        <f>UPPER('Project Data'!#REF!)</f>
        <v>#REF!</v>
      </c>
    </row>
    <row r="3" spans="1:4" x14ac:dyDescent="0.25">
      <c r="A3" s="4" t="s">
        <v>24</v>
      </c>
      <c r="B3" s="17" t="s">
        <v>56</v>
      </c>
      <c r="C3" s="13" t="s">
        <v>385</v>
      </c>
      <c r="D3" s="31" t="e">
        <f>UPPER('Project Data'!#REF!)</f>
        <v>#REF!</v>
      </c>
    </row>
    <row r="4" spans="1:4" x14ac:dyDescent="0.25">
      <c r="A4" s="4" t="s">
        <v>24</v>
      </c>
      <c r="B4" s="3" t="s">
        <v>57</v>
      </c>
      <c r="C4" s="13" t="s">
        <v>103</v>
      </c>
      <c r="D4" s="13" t="s">
        <v>103</v>
      </c>
    </row>
    <row r="5" spans="1:4" x14ac:dyDescent="0.25">
      <c r="A5" s="6" t="s">
        <v>24</v>
      </c>
      <c r="B5" s="17" t="s">
        <v>6</v>
      </c>
      <c r="C5" s="13" t="s">
        <v>380</v>
      </c>
      <c r="D5" s="28" t="str">
        <f>'Project Data'!M16</f>
        <v>1</v>
      </c>
    </row>
    <row r="6" spans="1:4" x14ac:dyDescent="0.25">
      <c r="A6" s="6" t="s">
        <v>25</v>
      </c>
      <c r="B6" s="17" t="s">
        <v>58</v>
      </c>
      <c r="C6" s="13" t="s">
        <v>381</v>
      </c>
      <c r="D6" s="28" t="str">
        <f>'Project Data'!M17</f>
        <v>G-56_</v>
      </c>
    </row>
    <row r="7" spans="1:4" x14ac:dyDescent="0.25">
      <c r="A7" s="6" t="s">
        <v>24</v>
      </c>
      <c r="B7" s="17" t="s">
        <v>59</v>
      </c>
      <c r="C7" s="13" t="s">
        <v>382</v>
      </c>
      <c r="D7" s="28" t="str">
        <f>'Project Data'!M19</f>
        <v>HICNO01</v>
      </c>
    </row>
    <row r="8" spans="1:4" x14ac:dyDescent="0.25">
      <c r="A8" s="6" t="s">
        <v>24</v>
      </c>
      <c r="B8" s="3" t="s">
        <v>60</v>
      </c>
      <c r="C8" s="13" t="s">
        <v>27</v>
      </c>
      <c r="D8" s="28" t="str">
        <f>'Project Data'!M20</f>
        <v>Medicare</v>
      </c>
    </row>
    <row r="9" spans="1:4" x14ac:dyDescent="0.25">
      <c r="A9" s="6" t="s">
        <v>24</v>
      </c>
      <c r="B9" s="17" t="s">
        <v>61</v>
      </c>
      <c r="C9" s="13" t="s">
        <v>382</v>
      </c>
      <c r="D9" s="28" t="str">
        <f>'Project Data'!M18</f>
        <v>G-56_</v>
      </c>
    </row>
    <row r="10" spans="1:4" x14ac:dyDescent="0.25">
      <c r="A10" s="6" t="s">
        <v>24</v>
      </c>
      <c r="B10" s="3" t="s">
        <v>62</v>
      </c>
      <c r="C10" s="13" t="s">
        <v>29</v>
      </c>
      <c r="D10" s="28" t="str">
        <f>'Project Data'!M40</f>
        <v>GP_ID_1</v>
      </c>
    </row>
    <row r="11" spans="1:4" x14ac:dyDescent="0.25">
      <c r="A11" s="6" t="s">
        <v>24</v>
      </c>
      <c r="B11" s="3" t="s">
        <v>63</v>
      </c>
      <c r="C11" s="13" t="s">
        <v>333</v>
      </c>
      <c r="D11" s="28" t="str">
        <f>'Project Data'!M22</f>
        <v>MEM Fname</v>
      </c>
    </row>
    <row r="12" spans="1:4" x14ac:dyDescent="0.25">
      <c r="A12" s="6" t="s">
        <v>24</v>
      </c>
      <c r="B12" s="3" t="s">
        <v>64</v>
      </c>
      <c r="C12" s="13" t="s">
        <v>333</v>
      </c>
      <c r="D12" s="28" t="str">
        <f>'Project Data'!M23</f>
        <v>C</v>
      </c>
    </row>
    <row r="13" spans="1:4" x14ac:dyDescent="0.25">
      <c r="A13" s="6" t="s">
        <v>24</v>
      </c>
      <c r="B13" s="3" t="s">
        <v>65</v>
      </c>
      <c r="C13" s="13" t="s">
        <v>32</v>
      </c>
      <c r="D13" s="30" t="e">
        <f>'Project Data'!#REF!</f>
        <v>#REF!</v>
      </c>
    </row>
    <row r="14" spans="1:4" x14ac:dyDescent="0.25">
      <c r="A14" s="6" t="s">
        <v>24</v>
      </c>
      <c r="B14" s="3" t="s">
        <v>66</v>
      </c>
      <c r="C14" s="28" t="s">
        <v>383</v>
      </c>
      <c r="D14" s="28" t="str">
        <f>'Project Data'!M42</f>
        <v>PATH</v>
      </c>
    </row>
    <row r="15" spans="1:4" x14ac:dyDescent="0.25">
      <c r="A15" s="6" t="s">
        <v>24</v>
      </c>
      <c r="B15" s="3" t="s">
        <v>67</v>
      </c>
      <c r="C15" s="13" t="s">
        <v>124</v>
      </c>
      <c r="D15" s="28" t="str">
        <f>'Project Data'!M45</f>
        <v>Suite Emerald 2nd Floor</v>
      </c>
    </row>
    <row r="16" spans="1:4" x14ac:dyDescent="0.25">
      <c r="A16" s="6" t="s">
        <v>24</v>
      </c>
      <c r="B16" s="3" t="s">
        <v>11</v>
      </c>
      <c r="C16" s="13" t="s">
        <v>344</v>
      </c>
      <c r="D16" s="30" t="str">
        <f>'Project Data'!M48</f>
        <v>55344-4455</v>
      </c>
    </row>
    <row r="17" spans="1:4" x14ac:dyDescent="0.25">
      <c r="A17" s="6" t="s">
        <v>24</v>
      </c>
      <c r="B17" s="3" t="s">
        <v>10</v>
      </c>
      <c r="C17" s="13" t="s">
        <v>343</v>
      </c>
      <c r="D17" s="30" t="str">
        <f>'Project Data'!M47</f>
        <v>NE</v>
      </c>
    </row>
    <row r="18" spans="1:4" x14ac:dyDescent="0.25">
      <c r="A18" s="6" t="s">
        <v>24</v>
      </c>
      <c r="B18" s="3" t="s">
        <v>12</v>
      </c>
      <c r="C18" s="13" t="s">
        <v>170</v>
      </c>
      <c r="D18" s="30" t="str">
        <f>'Project Data'!M60</f>
        <v>9242340959</v>
      </c>
    </row>
    <row r="19" spans="1:4" x14ac:dyDescent="0.25">
      <c r="A19" s="6" t="s">
        <v>25</v>
      </c>
      <c r="B19" s="3" t="s">
        <v>13</v>
      </c>
      <c r="C19" s="13" t="s">
        <v>171</v>
      </c>
      <c r="D19" s="30" t="str">
        <f>'Project Data'!M61</f>
        <v>PROVID_234</v>
      </c>
    </row>
    <row r="20" spans="1:4" x14ac:dyDescent="0.25">
      <c r="A20" s="6" t="s">
        <v>24</v>
      </c>
      <c r="B20" s="3" t="s">
        <v>14</v>
      </c>
      <c r="C20" s="13" t="s">
        <v>169</v>
      </c>
      <c r="D20" s="30" t="str">
        <f>'Project Data'!M62</f>
        <v>DEC</v>
      </c>
    </row>
    <row r="21" spans="1:4" x14ac:dyDescent="0.25">
      <c r="A21" s="6" t="s">
        <v>24</v>
      </c>
      <c r="B21" s="3" t="s">
        <v>15</v>
      </c>
      <c r="C21" s="13" t="s">
        <v>36</v>
      </c>
      <c r="D21" s="30" t="str">
        <f>'Project Data'!M63</f>
        <v>Fairview Clinics</v>
      </c>
    </row>
    <row r="22" spans="1:4" x14ac:dyDescent="0.25">
      <c r="A22" s="6" t="s">
        <v>24</v>
      </c>
      <c r="B22" s="3" t="s">
        <v>16</v>
      </c>
      <c r="C22" s="13" t="s">
        <v>123</v>
      </c>
      <c r="D22" s="28" t="str">
        <f>'Project Data'!M10</f>
        <v>Image_Req, Frst Name.</v>
      </c>
    </row>
    <row r="23" spans="1:4" x14ac:dyDescent="0.25">
      <c r="A23" s="6" t="s">
        <v>24</v>
      </c>
      <c r="B23" s="3" t="s">
        <v>17</v>
      </c>
      <c r="C23" s="13" t="s">
        <v>125</v>
      </c>
      <c r="D23" s="30" t="str">
        <f>'Project Data'!M11</f>
        <v>Image Req, Lst_Name.</v>
      </c>
    </row>
    <row r="24" spans="1:4" x14ac:dyDescent="0.25">
      <c r="A24" s="6" t="s">
        <v>24</v>
      </c>
      <c r="B24" s="3" t="s">
        <v>19</v>
      </c>
      <c r="C24" s="13" t="s">
        <v>34</v>
      </c>
      <c r="D24" s="30" t="e">
        <f>'Project Data'!#REF!</f>
        <v>#REF!</v>
      </c>
    </row>
    <row r="25" spans="1:4" x14ac:dyDescent="0.25">
      <c r="A25" s="4" t="s">
        <v>25</v>
      </c>
      <c r="B25" s="3" t="s">
        <v>68</v>
      </c>
      <c r="C25" s="13" t="s">
        <v>378</v>
      </c>
      <c r="D25" s="30"/>
    </row>
    <row r="26" spans="1:4" x14ac:dyDescent="0.25">
      <c r="A26" s="4" t="s">
        <v>25</v>
      </c>
      <c r="B26" s="3" t="s">
        <v>69</v>
      </c>
      <c r="C26" s="13" t="s">
        <v>378</v>
      </c>
      <c r="D26" s="30"/>
    </row>
    <row r="27" spans="1:4" x14ac:dyDescent="0.25">
      <c r="A27" s="6" t="s">
        <v>24</v>
      </c>
      <c r="B27" s="3" t="s">
        <v>74</v>
      </c>
      <c r="C27" s="13"/>
      <c r="D27" s="30"/>
    </row>
    <row r="28" spans="1:4" x14ac:dyDescent="0.25">
      <c r="A28" s="6" t="s">
        <v>24</v>
      </c>
      <c r="B28" s="3" t="s">
        <v>76</v>
      </c>
      <c r="C28" s="13"/>
      <c r="D28" s="30"/>
    </row>
    <row r="29" spans="1:4" x14ac:dyDescent="0.25">
      <c r="A29" s="6" t="s">
        <v>24</v>
      </c>
      <c r="B29" s="2" t="s">
        <v>78</v>
      </c>
      <c r="C29" s="13"/>
      <c r="D29" s="30"/>
    </row>
    <row r="30" spans="1:4" x14ac:dyDescent="0.25">
      <c r="A30" s="6" t="s">
        <v>24</v>
      </c>
      <c r="B30" s="3" t="s">
        <v>70</v>
      </c>
      <c r="C30" s="13" t="s">
        <v>32</v>
      </c>
      <c r="D30" s="30"/>
    </row>
    <row r="31" spans="1:4" x14ac:dyDescent="0.25">
      <c r="A31" s="5" t="s">
        <v>24</v>
      </c>
      <c r="B31" s="3" t="s">
        <v>71</v>
      </c>
      <c r="C31" s="13" t="s">
        <v>386</v>
      </c>
      <c r="D31" s="30"/>
    </row>
    <row r="32" spans="1:4" x14ac:dyDescent="0.25">
      <c r="A32" s="6" t="s">
        <v>24</v>
      </c>
      <c r="B32" s="3" t="s">
        <v>72</v>
      </c>
      <c r="C32" s="13"/>
      <c r="D32" s="30"/>
    </row>
    <row r="33" spans="1:4" x14ac:dyDescent="0.25">
      <c r="A33" s="6" t="s">
        <v>24</v>
      </c>
      <c r="B33" s="3" t="s">
        <v>73</v>
      </c>
      <c r="C33" s="13"/>
      <c r="D33" s="30"/>
    </row>
    <row r="34" spans="1:4" x14ac:dyDescent="0.25">
      <c r="A34" s="6" t="s">
        <v>24</v>
      </c>
      <c r="B34" s="3" t="s">
        <v>74</v>
      </c>
      <c r="C34" s="13" t="s">
        <v>338</v>
      </c>
      <c r="D34" s="30"/>
    </row>
    <row r="35" spans="1:4" x14ac:dyDescent="0.25">
      <c r="A35" s="6" t="s">
        <v>24</v>
      </c>
      <c r="B35" s="3" t="s">
        <v>75</v>
      </c>
      <c r="C35" s="13"/>
      <c r="D35" s="30"/>
    </row>
    <row r="36" spans="1:4" x14ac:dyDescent="0.25">
      <c r="A36" s="6" t="s">
        <v>25</v>
      </c>
      <c r="B36" s="3" t="s">
        <v>76</v>
      </c>
      <c r="C36" s="13"/>
      <c r="D36" s="30"/>
    </row>
    <row r="37" spans="1:4" x14ac:dyDescent="0.25">
      <c r="A37" s="6" t="s">
        <v>24</v>
      </c>
      <c r="B37" s="2" t="s">
        <v>77</v>
      </c>
      <c r="C37" s="13"/>
      <c r="D37" s="30"/>
    </row>
    <row r="38" spans="1:4" x14ac:dyDescent="0.25">
      <c r="A38" s="6" t="s">
        <v>25</v>
      </c>
      <c r="B38" s="2" t="s">
        <v>78</v>
      </c>
      <c r="C38" s="13"/>
      <c r="D38" s="30"/>
    </row>
    <row r="39" spans="1:4" x14ac:dyDescent="0.25">
      <c r="A39" s="6" t="s">
        <v>24</v>
      </c>
      <c r="B39" s="2" t="s">
        <v>79</v>
      </c>
      <c r="C39" s="13"/>
      <c r="D39" s="30"/>
    </row>
    <row r="40" spans="1:4" x14ac:dyDescent="0.25">
      <c r="A40" s="4" t="s">
        <v>24</v>
      </c>
      <c r="B40" s="2" t="s">
        <v>80</v>
      </c>
      <c r="C40" s="13" t="s">
        <v>104</v>
      </c>
      <c r="D40" s="30"/>
    </row>
    <row r="41" spans="1:4" x14ac:dyDescent="0.25">
      <c r="A41" s="6" t="s">
        <v>24</v>
      </c>
      <c r="B41" s="2" t="s">
        <v>7</v>
      </c>
      <c r="C41" s="13" t="s">
        <v>36</v>
      </c>
      <c r="D41" s="30" t="str">
        <f>'Project Data'!M21</f>
        <v>MEM Lname</v>
      </c>
    </row>
    <row r="42" spans="1:4" x14ac:dyDescent="0.25">
      <c r="A42" s="6" t="s">
        <v>24</v>
      </c>
      <c r="B42" s="2" t="s">
        <v>8</v>
      </c>
      <c r="C42" s="13" t="s">
        <v>333</v>
      </c>
      <c r="D42" s="30" t="str">
        <f>'Project Data'!M22</f>
        <v>MEM Fname</v>
      </c>
    </row>
    <row r="43" spans="1:4" x14ac:dyDescent="0.25">
      <c r="A43" s="6" t="s">
        <v>25</v>
      </c>
      <c r="B43" s="2" t="s">
        <v>18</v>
      </c>
      <c r="C43" s="13" t="s">
        <v>33</v>
      </c>
      <c r="D43" s="30" t="e">
        <f>'Project Data'!#REF!</f>
        <v>#REF!</v>
      </c>
    </row>
    <row r="44" spans="1:4" x14ac:dyDescent="0.25">
      <c r="A44" s="6" t="s">
        <v>25</v>
      </c>
      <c r="B44" s="2" t="s">
        <v>3</v>
      </c>
      <c r="C44" s="13" t="s">
        <v>379</v>
      </c>
      <c r="D44" s="30" t="str">
        <f>'Project Data'!M3</f>
        <v>ACA</v>
      </c>
    </row>
    <row r="45" spans="1:4" x14ac:dyDescent="0.25">
      <c r="A45" s="4" t="s">
        <v>25</v>
      </c>
      <c r="B45" s="2" t="s">
        <v>81</v>
      </c>
      <c r="C45" s="13" t="s">
        <v>105</v>
      </c>
      <c r="D45" s="30"/>
    </row>
    <row r="46" spans="1:4" x14ac:dyDescent="0.25">
      <c r="A46" s="4" t="s">
        <v>25</v>
      </c>
      <c r="B46" s="2" t="s">
        <v>82</v>
      </c>
      <c r="C46" s="13" t="s">
        <v>106</v>
      </c>
      <c r="D46" s="30"/>
    </row>
    <row r="47" spans="1:4" x14ac:dyDescent="0.25">
      <c r="A47" s="4" t="s">
        <v>25</v>
      </c>
      <c r="B47" s="2" t="s">
        <v>83</v>
      </c>
      <c r="C47" s="13" t="s">
        <v>107</v>
      </c>
      <c r="D47" s="30"/>
    </row>
    <row r="48" spans="1:4" x14ac:dyDescent="0.25">
      <c r="A48" s="4" t="s">
        <v>24</v>
      </c>
      <c r="B48" s="2" t="s">
        <v>84</v>
      </c>
      <c r="C48" s="13" t="s">
        <v>107</v>
      </c>
      <c r="D48" s="30"/>
    </row>
    <row r="49" spans="1:4" x14ac:dyDescent="0.25">
      <c r="A49" s="4" t="s">
        <v>24</v>
      </c>
      <c r="B49" s="2" t="s">
        <v>85</v>
      </c>
      <c r="C49" s="13" t="s">
        <v>107</v>
      </c>
      <c r="D49" s="30"/>
    </row>
    <row r="50" spans="1:4" x14ac:dyDescent="0.25">
      <c r="A50" s="4" t="s">
        <v>24</v>
      </c>
      <c r="B50" s="2" t="s">
        <v>86</v>
      </c>
      <c r="C50" s="13" t="s">
        <v>107</v>
      </c>
      <c r="D50" s="30"/>
    </row>
    <row r="51" spans="1:4" x14ac:dyDescent="0.25">
      <c r="A51" s="4" t="s">
        <v>24</v>
      </c>
      <c r="B51" s="2" t="s">
        <v>87</v>
      </c>
      <c r="C51" s="13" t="s">
        <v>107</v>
      </c>
      <c r="D51" s="30"/>
    </row>
    <row r="52" spans="1:4" x14ac:dyDescent="0.25">
      <c r="A52" s="6" t="s">
        <v>25</v>
      </c>
      <c r="B52" s="2" t="s">
        <v>88</v>
      </c>
      <c r="C52" s="13" t="s">
        <v>109</v>
      </c>
      <c r="D52" s="30"/>
    </row>
    <row r="53" spans="1:4" x14ac:dyDescent="0.25">
      <c r="A53" s="4" t="s">
        <v>24</v>
      </c>
      <c r="B53" s="2" t="s">
        <v>89</v>
      </c>
      <c r="C53" s="13" t="s">
        <v>110</v>
      </c>
      <c r="D53" s="30"/>
    </row>
    <row r="54" spans="1:4" x14ac:dyDescent="0.25">
      <c r="A54" s="4" t="s">
        <v>24</v>
      </c>
      <c r="B54" s="2" t="s">
        <v>90</v>
      </c>
      <c r="C54" s="13" t="s">
        <v>111</v>
      </c>
      <c r="D54" s="30"/>
    </row>
    <row r="55" spans="1:4" x14ac:dyDescent="0.25">
      <c r="A55" s="4" t="s">
        <v>24</v>
      </c>
      <c r="B55" s="2" t="s">
        <v>91</v>
      </c>
      <c r="C55" s="13" t="s">
        <v>112</v>
      </c>
      <c r="D55" s="30"/>
    </row>
    <row r="56" spans="1:4" x14ac:dyDescent="0.25">
      <c r="A56" s="6" t="s">
        <v>24</v>
      </c>
      <c r="B56" s="2" t="s">
        <v>92</v>
      </c>
      <c r="C56" s="13" t="s">
        <v>113</v>
      </c>
      <c r="D56" s="30"/>
    </row>
    <row r="57" spans="1:4" x14ac:dyDescent="0.25">
      <c r="A57" s="4" t="s">
        <v>25</v>
      </c>
      <c r="B57" s="2" t="s">
        <v>93</v>
      </c>
      <c r="C57" s="13" t="s">
        <v>377</v>
      </c>
      <c r="D57" s="30" t="e">
        <f>'Project Data'!#REF!</f>
        <v>#REF!</v>
      </c>
    </row>
    <row r="58" spans="1:4" x14ac:dyDescent="0.25">
      <c r="A58" s="4" t="s">
        <v>25</v>
      </c>
      <c r="B58" s="2" t="s">
        <v>94</v>
      </c>
      <c r="C58" s="13" t="s">
        <v>114</v>
      </c>
      <c r="D58" s="30"/>
    </row>
    <row r="59" spans="1:4" x14ac:dyDescent="0.25">
      <c r="A59" s="4" t="s">
        <v>25</v>
      </c>
      <c r="B59" s="2" t="s">
        <v>95</v>
      </c>
      <c r="C59" s="13" t="s">
        <v>115</v>
      </c>
      <c r="D59" s="30"/>
    </row>
    <row r="60" spans="1:4" x14ac:dyDescent="0.25">
      <c r="A60" s="4" t="s">
        <v>24</v>
      </c>
      <c r="B60" s="2" t="s">
        <v>96</v>
      </c>
      <c r="C60" s="13" t="s">
        <v>116</v>
      </c>
      <c r="D60" s="30"/>
    </row>
    <row r="61" spans="1:4" x14ac:dyDescent="0.25">
      <c r="A61" s="4" t="s">
        <v>24</v>
      </c>
      <c r="B61" s="2" t="s">
        <v>97</v>
      </c>
      <c r="C61" s="13" t="s">
        <v>107</v>
      </c>
      <c r="D61" s="30"/>
    </row>
    <row r="62" spans="1:4" x14ac:dyDescent="0.25">
      <c r="A62" s="6" t="s">
        <v>24</v>
      </c>
      <c r="B62" s="2" t="s">
        <v>98</v>
      </c>
      <c r="C62" s="13" t="s">
        <v>108</v>
      </c>
      <c r="D62" s="30"/>
    </row>
    <row r="63" spans="1:4" x14ac:dyDescent="0.25">
      <c r="A63" s="6" t="s">
        <v>24</v>
      </c>
      <c r="B63" s="2" t="s">
        <v>99</v>
      </c>
      <c r="C63" s="13" t="s">
        <v>108</v>
      </c>
      <c r="D63" s="30"/>
    </row>
    <row r="64" spans="1:4" x14ac:dyDescent="0.25">
      <c r="A64" s="6" t="s">
        <v>24</v>
      </c>
      <c r="B64" s="2" t="s">
        <v>100</v>
      </c>
      <c r="C64" s="13" t="s">
        <v>117</v>
      </c>
      <c r="D64" s="30"/>
    </row>
    <row r="65" spans="1:4" x14ac:dyDescent="0.25">
      <c r="A65" s="4" t="s">
        <v>25</v>
      </c>
      <c r="B65" s="2" t="s">
        <v>54</v>
      </c>
      <c r="C65" s="13" t="s">
        <v>119</v>
      </c>
      <c r="D65" s="30" t="e">
        <f>'Project Data'!#REF!</f>
        <v>#REF!</v>
      </c>
    </row>
    <row r="66" spans="1:4" x14ac:dyDescent="0.25">
      <c r="A66" s="6" t="s">
        <v>25</v>
      </c>
      <c r="B66" s="2" t="s">
        <v>213</v>
      </c>
      <c r="C66" s="13" t="s">
        <v>214</v>
      </c>
      <c r="D66" s="30"/>
    </row>
  </sheetData>
  <dataValidations count="1">
    <dataValidation type="list" showErrorMessage="1" errorTitle="!!Field Selection Invalid!!" error="Only Fields to be selected are 'Have' &amp; 'Don't Have'" sqref="A2:A66">
      <formula1>"Have, Don't Have"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C46"/>
  <sheetViews>
    <sheetView workbookViewId="0">
      <pane ySplit="1" topLeftCell="A14" activePane="bottomLeft" state="frozen"/>
      <selection activeCell="F15" sqref="F15"/>
      <selection pane="bottomLeft" activeCell="F15" sqref="F15"/>
    </sheetView>
  </sheetViews>
  <sheetFormatPr defaultRowHeight="15" x14ac:dyDescent="0.25"/>
  <cols>
    <col min="1" max="1" width="15.7109375" customWidth="1"/>
    <col min="2" max="2" width="32.7109375" customWidth="1"/>
    <col min="3" max="3" width="22" bestFit="1" customWidth="1"/>
  </cols>
  <sheetData>
    <row r="1" spans="1:3" x14ac:dyDescent="0.25">
      <c r="A1" s="9" t="s">
        <v>23</v>
      </c>
      <c r="B1" s="8" t="s">
        <v>1</v>
      </c>
      <c r="C1" s="8" t="s">
        <v>22</v>
      </c>
    </row>
    <row r="2" spans="1:3" s="57" customFormat="1" x14ac:dyDescent="0.25">
      <c r="A2" s="4" t="s">
        <v>24</v>
      </c>
      <c r="B2" s="3" t="s">
        <v>55</v>
      </c>
      <c r="C2" s="52" t="s">
        <v>350</v>
      </c>
    </row>
    <row r="3" spans="1:3" s="57" customFormat="1" x14ac:dyDescent="0.25">
      <c r="A3" s="4" t="s">
        <v>24</v>
      </c>
      <c r="B3" s="3" t="s">
        <v>127</v>
      </c>
      <c r="C3" s="52" t="s">
        <v>219</v>
      </c>
    </row>
    <row r="4" spans="1:3" s="57" customFormat="1" x14ac:dyDescent="0.25">
      <c r="A4" s="4" t="s">
        <v>24</v>
      </c>
      <c r="B4" s="3" t="s">
        <v>175</v>
      </c>
      <c r="C4" s="28" t="s">
        <v>245</v>
      </c>
    </row>
    <row r="5" spans="1:3" s="57" customFormat="1" x14ac:dyDescent="0.25">
      <c r="A5" s="4" t="s">
        <v>24</v>
      </c>
      <c r="B5" s="3" t="s">
        <v>176</v>
      </c>
      <c r="C5" s="28" t="s">
        <v>245</v>
      </c>
    </row>
    <row r="6" spans="1:3" s="57" customFormat="1" x14ac:dyDescent="0.25">
      <c r="A6" s="39" t="s">
        <v>24</v>
      </c>
      <c r="B6" s="3" t="s">
        <v>351</v>
      </c>
      <c r="C6" s="13"/>
    </row>
    <row r="7" spans="1:3" s="57" customFormat="1" x14ac:dyDescent="0.25">
      <c r="A7" s="4" t="s">
        <v>24</v>
      </c>
      <c r="B7" s="3" t="s">
        <v>177</v>
      </c>
      <c r="C7" s="13" t="s">
        <v>168</v>
      </c>
    </row>
    <row r="8" spans="1:3" s="57" customFormat="1" x14ac:dyDescent="0.25">
      <c r="A8" s="6" t="s">
        <v>24</v>
      </c>
      <c r="B8" s="3" t="s">
        <v>178</v>
      </c>
      <c r="C8" s="13"/>
    </row>
    <row r="9" spans="1:3" s="57" customFormat="1" x14ac:dyDescent="0.25">
      <c r="A9" s="6" t="s">
        <v>24</v>
      </c>
      <c r="B9" s="3" t="s">
        <v>179</v>
      </c>
      <c r="C9" s="13"/>
    </row>
    <row r="10" spans="1:3" s="57" customFormat="1" x14ac:dyDescent="0.25">
      <c r="A10" s="6" t="s">
        <v>24</v>
      </c>
      <c r="B10" s="3" t="s">
        <v>180</v>
      </c>
      <c r="C10" s="13"/>
    </row>
    <row r="11" spans="1:3" s="57" customFormat="1" x14ac:dyDescent="0.25">
      <c r="A11" s="6" t="s">
        <v>24</v>
      </c>
      <c r="B11" s="3" t="s">
        <v>352</v>
      </c>
      <c r="C11" s="13"/>
    </row>
    <row r="12" spans="1:3" s="57" customFormat="1" x14ac:dyDescent="0.25">
      <c r="A12" s="6" t="s">
        <v>24</v>
      </c>
      <c r="B12" s="3" t="s">
        <v>353</v>
      </c>
      <c r="C12" s="13"/>
    </row>
    <row r="13" spans="1:3" s="57" customFormat="1" x14ac:dyDescent="0.25">
      <c r="A13" s="6" t="s">
        <v>24</v>
      </c>
      <c r="B13" s="3" t="s">
        <v>354</v>
      </c>
      <c r="C13" s="13"/>
    </row>
    <row r="14" spans="1:3" s="57" customFormat="1" x14ac:dyDescent="0.25">
      <c r="A14" s="39" t="s">
        <v>24</v>
      </c>
      <c r="B14" s="3" t="s">
        <v>355</v>
      </c>
      <c r="C14" s="28"/>
    </row>
    <row r="15" spans="1:3" s="57" customFormat="1" x14ac:dyDescent="0.25">
      <c r="A15" s="4" t="s">
        <v>24</v>
      </c>
      <c r="B15" s="3" t="s">
        <v>197</v>
      </c>
      <c r="C15" s="13"/>
    </row>
    <row r="16" spans="1:3" s="57" customFormat="1" x14ac:dyDescent="0.25">
      <c r="A16" s="6" t="s">
        <v>24</v>
      </c>
      <c r="B16" s="3" t="s">
        <v>178</v>
      </c>
      <c r="C16" s="13"/>
    </row>
    <row r="17" spans="1:3" s="57" customFormat="1" x14ac:dyDescent="0.25">
      <c r="A17" s="6" t="s">
        <v>24</v>
      </c>
      <c r="B17" s="3" t="s">
        <v>179</v>
      </c>
      <c r="C17" s="13"/>
    </row>
    <row r="18" spans="1:3" s="57" customFormat="1" x14ac:dyDescent="0.25">
      <c r="A18" s="6" t="s">
        <v>24</v>
      </c>
      <c r="B18" s="3" t="s">
        <v>180</v>
      </c>
      <c r="C18" s="13"/>
    </row>
    <row r="19" spans="1:3" s="57" customFormat="1" x14ac:dyDescent="0.25">
      <c r="A19" s="6" t="s">
        <v>25</v>
      </c>
      <c r="B19" s="3" t="s">
        <v>352</v>
      </c>
      <c r="C19" s="13"/>
    </row>
    <row r="20" spans="1:3" s="57" customFormat="1" x14ac:dyDescent="0.25">
      <c r="A20" s="6" t="s">
        <v>24</v>
      </c>
      <c r="B20" s="3" t="s">
        <v>353</v>
      </c>
      <c r="C20" s="13"/>
    </row>
    <row r="21" spans="1:3" s="57" customFormat="1" x14ac:dyDescent="0.25">
      <c r="A21" s="6" t="s">
        <v>24</v>
      </c>
      <c r="B21" s="3" t="s">
        <v>354</v>
      </c>
      <c r="C21" s="13"/>
    </row>
    <row r="22" spans="1:3" s="57" customFormat="1" x14ac:dyDescent="0.25">
      <c r="A22" s="6" t="s">
        <v>24</v>
      </c>
      <c r="B22" s="3" t="s">
        <v>356</v>
      </c>
      <c r="C22" s="13" t="s">
        <v>147</v>
      </c>
    </row>
    <row r="23" spans="1:3" s="57" customFormat="1" x14ac:dyDescent="0.25">
      <c r="A23" s="6" t="s">
        <v>24</v>
      </c>
      <c r="B23" s="3" t="s">
        <v>182</v>
      </c>
      <c r="C23" s="13" t="s">
        <v>32</v>
      </c>
    </row>
    <row r="24" spans="1:3" s="57" customFormat="1" x14ac:dyDescent="0.25">
      <c r="A24" s="6" t="s">
        <v>24</v>
      </c>
      <c r="B24" s="3" t="s">
        <v>183</v>
      </c>
      <c r="C24" s="13"/>
    </row>
    <row r="25" spans="1:3" s="57" customFormat="1" x14ac:dyDescent="0.25">
      <c r="A25" s="6" t="s">
        <v>25</v>
      </c>
      <c r="B25" s="3" t="s">
        <v>184</v>
      </c>
      <c r="C25" s="13"/>
    </row>
    <row r="26" spans="1:3" s="57" customFormat="1" x14ac:dyDescent="0.25">
      <c r="A26" s="6" t="s">
        <v>25</v>
      </c>
      <c r="B26" s="3" t="s">
        <v>185</v>
      </c>
      <c r="C26" s="13"/>
    </row>
    <row r="27" spans="1:3" s="57" customFormat="1" x14ac:dyDescent="0.25">
      <c r="A27" s="6" t="s">
        <v>24</v>
      </c>
      <c r="B27" s="3" t="s">
        <v>186</v>
      </c>
      <c r="C27" s="13"/>
    </row>
    <row r="28" spans="1:3" s="57" customFormat="1" x14ac:dyDescent="0.25">
      <c r="A28" s="6" t="s">
        <v>24</v>
      </c>
      <c r="B28" s="3" t="s">
        <v>187</v>
      </c>
      <c r="C28" s="13"/>
    </row>
    <row r="29" spans="1:3" s="57" customFormat="1" x14ac:dyDescent="0.25">
      <c r="A29" s="6" t="s">
        <v>24</v>
      </c>
      <c r="B29" s="3" t="s">
        <v>188</v>
      </c>
      <c r="C29" s="13"/>
    </row>
    <row r="30" spans="1:3" s="57" customFormat="1" x14ac:dyDescent="0.25">
      <c r="A30" s="6" t="s">
        <v>24</v>
      </c>
      <c r="B30" s="3" t="s">
        <v>189</v>
      </c>
      <c r="C30" s="13"/>
    </row>
    <row r="31" spans="1:3" s="57" customFormat="1" x14ac:dyDescent="0.25">
      <c r="A31" s="6" t="s">
        <v>24</v>
      </c>
      <c r="B31" s="3" t="s">
        <v>190</v>
      </c>
      <c r="C31" s="13"/>
    </row>
    <row r="32" spans="1:3" s="57" customFormat="1" x14ac:dyDescent="0.25">
      <c r="A32" s="6" t="s">
        <v>24</v>
      </c>
      <c r="B32" s="3" t="s">
        <v>191</v>
      </c>
      <c r="C32" s="13"/>
    </row>
    <row r="33" spans="1:3" s="57" customFormat="1" x14ac:dyDescent="0.25">
      <c r="A33" s="6" t="s">
        <v>24</v>
      </c>
      <c r="B33" s="3" t="s">
        <v>192</v>
      </c>
      <c r="C33" s="13"/>
    </row>
    <row r="34" spans="1:3" s="57" customFormat="1" x14ac:dyDescent="0.25">
      <c r="A34" s="6" t="s">
        <v>24</v>
      </c>
      <c r="B34" s="3" t="s">
        <v>193</v>
      </c>
      <c r="C34" s="13"/>
    </row>
    <row r="35" spans="1:3" s="57" customFormat="1" x14ac:dyDescent="0.25">
      <c r="A35" s="6" t="s">
        <v>24</v>
      </c>
      <c r="B35" s="3" t="s">
        <v>194</v>
      </c>
      <c r="C35" s="13"/>
    </row>
    <row r="36" spans="1:3" s="57" customFormat="1" x14ac:dyDescent="0.25">
      <c r="A36" s="6" t="s">
        <v>25</v>
      </c>
      <c r="B36" s="3" t="s">
        <v>195</v>
      </c>
      <c r="C36" s="13"/>
    </row>
    <row r="37" spans="1:3" s="57" customFormat="1" x14ac:dyDescent="0.25">
      <c r="A37" s="6" t="s">
        <v>24</v>
      </c>
      <c r="B37" s="3" t="s">
        <v>196</v>
      </c>
      <c r="C37" s="13"/>
    </row>
    <row r="38" spans="1:3" s="57" customFormat="1" x14ac:dyDescent="0.25">
      <c r="A38" s="4" t="s">
        <v>25</v>
      </c>
      <c r="B38" s="3" t="s">
        <v>95</v>
      </c>
      <c r="C38" s="13" t="s">
        <v>357</v>
      </c>
    </row>
    <row r="39" spans="1:3" s="57" customFormat="1" x14ac:dyDescent="0.25">
      <c r="A39" s="39" t="s">
        <v>24</v>
      </c>
      <c r="B39" s="3" t="s">
        <v>358</v>
      </c>
      <c r="C39" s="13"/>
    </row>
    <row r="40" spans="1:3" s="57" customFormat="1" x14ac:dyDescent="0.25">
      <c r="A40" s="6" t="s">
        <v>24</v>
      </c>
      <c r="B40" s="3" t="s">
        <v>359</v>
      </c>
      <c r="C40" s="13"/>
    </row>
    <row r="41" spans="1:3" s="57" customFormat="1" x14ac:dyDescent="0.25">
      <c r="A41" s="6" t="s">
        <v>24</v>
      </c>
      <c r="B41" s="3" t="s">
        <v>360</v>
      </c>
      <c r="C41" s="13"/>
    </row>
    <row r="42" spans="1:3" s="57" customFormat="1" x14ac:dyDescent="0.25">
      <c r="A42" s="39" t="s">
        <v>24</v>
      </c>
      <c r="B42" s="3" t="s">
        <v>361</v>
      </c>
      <c r="C42" s="13"/>
    </row>
    <row r="43" spans="1:3" s="57" customFormat="1" x14ac:dyDescent="0.25">
      <c r="A43" s="6" t="s">
        <v>25</v>
      </c>
      <c r="B43" s="3" t="s">
        <v>362</v>
      </c>
      <c r="C43" s="13"/>
    </row>
    <row r="44" spans="1:3" s="57" customFormat="1" x14ac:dyDescent="0.25">
      <c r="A44" s="6" t="s">
        <v>25</v>
      </c>
      <c r="B44" s="3" t="s">
        <v>363</v>
      </c>
      <c r="C44" s="13"/>
    </row>
    <row r="45" spans="1:3" s="57" customFormat="1" x14ac:dyDescent="0.25">
      <c r="A45" s="6" t="s">
        <v>25</v>
      </c>
      <c r="B45" s="3" t="s">
        <v>364</v>
      </c>
      <c r="C45" s="13" t="s">
        <v>263</v>
      </c>
    </row>
    <row r="46" spans="1:3" s="57" customFormat="1" x14ac:dyDescent="0.25">
      <c r="A46" s="6" t="s">
        <v>25</v>
      </c>
      <c r="B46" s="3" t="s">
        <v>365</v>
      </c>
      <c r="C46" s="13" t="s">
        <v>366</v>
      </c>
    </row>
  </sheetData>
  <dataValidations count="6">
    <dataValidation type="list" showErrorMessage="1" errorTitle="!!Field Selection Invalid!!" error="Only Fields to be selected are 'Have' &amp; 'Don't Have'" sqref="A2:A46">
      <formula1>"Have, Don't Have"</formula1>
    </dataValidation>
    <dataValidation type="list" allowBlank="1" showInputMessage="1" showErrorMessage="1" sqref="C7">
      <formula1>"IP, OP, SNF, HOP"</formula1>
    </dataValidation>
    <dataValidation type="list" allowBlank="1" showInputMessage="1" showErrorMessage="1" sqref="C22:C23">
      <formula1>"Y, N"</formula1>
    </dataValidation>
    <dataValidation type="list" allowBlank="1" showInputMessage="1" showErrorMessage="1" sqref="C38">
      <formula1>"iCodify, OnCallConsulting, Optum_Hyderabad, Optum_Manila, Optum_Onshore, PI, XL_Health, Optum_Franklin, US_Remote"</formula1>
    </dataValidation>
    <dataValidation type="list" allowBlank="1" showInputMessage="1" showErrorMessage="1" sqref="C46">
      <formula1>"CODREJ"</formula1>
    </dataValidation>
    <dataValidation type="list" allowBlank="1" showInputMessage="1" showErrorMessage="1" sqref="C45">
      <formula1>"E, H, D"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16</vt:i4>
      </vt:variant>
    </vt:vector>
  </HeadingPairs>
  <TitlesOfParts>
    <vt:vector size="27" baseType="lpstr">
      <vt:lpstr>Tool Architecture</vt:lpstr>
      <vt:lpstr>Instructions</vt:lpstr>
      <vt:lpstr>Tool Control</vt:lpstr>
      <vt:lpstr>TestData</vt:lpstr>
      <vt:lpstr>Settings</vt:lpstr>
      <vt:lpstr>Project Data</vt:lpstr>
      <vt:lpstr>VRF Data</vt:lpstr>
      <vt:lpstr>CR DX Data</vt:lpstr>
      <vt:lpstr>STD DX Data</vt:lpstr>
      <vt:lpstr>PAF DX Data</vt:lpstr>
      <vt:lpstr>APPEND DX Data</vt:lpstr>
      <vt:lpstr>AETNA</vt:lpstr>
      <vt:lpstr>CIGNA</vt:lpstr>
      <vt:lpstr>COVENTRY</vt:lpstr>
      <vt:lpstr>ELDERPLAN</vt:lpstr>
      <vt:lpstr>HEALTHNET</vt:lpstr>
      <vt:lpstr>HEALTHPLANS</vt:lpstr>
      <vt:lpstr>HMSA</vt:lpstr>
      <vt:lpstr>MEDICA</vt:lpstr>
      <vt:lpstr>MOUNTCARMEL</vt:lpstr>
      <vt:lpstr>NAMM</vt:lpstr>
      <vt:lpstr>TUFTS</vt:lpstr>
      <vt:lpstr>UCARE</vt:lpstr>
      <vt:lpstr>UHCCS</vt:lpstr>
      <vt:lpstr>UHCMR</vt:lpstr>
      <vt:lpstr>UOV</vt:lpstr>
      <vt:lpstr>WINDSOR</vt:lpstr>
    </vt:vector>
  </TitlesOfParts>
  <Company>Cognizant Technology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208002</dc:creator>
  <cp:lastModifiedBy>Choletti, Govardhan</cp:lastModifiedBy>
  <dcterms:created xsi:type="dcterms:W3CDTF">2012-01-20T13:05:05Z</dcterms:created>
  <dcterms:modified xsi:type="dcterms:W3CDTF">2015-03-31T14:47:03Z</dcterms:modified>
</cp:coreProperties>
</file>