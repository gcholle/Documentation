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165" windowWidth="15195" windowHeight="1560" firstSheet="2" activeTab="5"/>
  </bookViews>
  <sheets>
    <sheet name="Tool Architecture" sheetId="6" state="hidden" r:id="rId1"/>
    <sheet name="Instructions" sheetId="4" state="hidden" r:id="rId2"/>
    <sheet name="Tool Control" sheetId="1" r:id="rId3"/>
    <sheet name="TestData" sheetId="10" r:id="rId4"/>
    <sheet name="Settings" sheetId="5" r:id="rId5"/>
    <sheet name="RESTATE_MMR" sheetId="11" r:id="rId6"/>
    <sheet name="FLAT_MMR" sheetId="2" r:id="rId7"/>
    <sheet name="HIC_HISTORY" sheetId="12" r:id="rId8"/>
    <sheet name="VRF Data" sheetId="3" state="hidden" r:id="rId9"/>
    <sheet name="STD DX Data" sheetId="7" state="hidden" r:id="rId10"/>
    <sheet name="PAF DX Data" sheetId="8" state="hidden" r:id="rId11"/>
    <sheet name="APPEND DX Data" sheetId="9" state="hidden" r:id="rId12"/>
  </sheets>
  <functionGroups builtInGroupCount="17"/>
  <definedNames>
    <definedName name="_xlnm._FilterDatabase" localSheetId="6" hidden="1">FLAT_MMR!$A$1:$H$15</definedName>
    <definedName name="_xlnm._FilterDatabase" localSheetId="7" hidden="1">HIC_HISTORY!$A$1:$H$7</definedName>
    <definedName name="AETNA">TestData!$S$2</definedName>
    <definedName name="AMC" localSheetId="7">TestData!#REF!</definedName>
    <definedName name="AMC">TestData!#REF!</definedName>
    <definedName name="AMCS" localSheetId="7">TestData!#REF!</definedName>
    <definedName name="AMCS">TestData!#REF!</definedName>
    <definedName name="ARCADIAN" localSheetId="7">TestData!#REF!</definedName>
    <definedName name="ARCADIAN">TestData!#REF!</definedName>
    <definedName name="BRVO" localSheetId="7">TestData!#REF!</definedName>
    <definedName name="BRVO">TestData!#REF!</definedName>
    <definedName name="CIGNA">TestData!$T$2</definedName>
    <definedName name="COVENTRY">TestData!$U$2</definedName>
    <definedName name="CVT" localSheetId="7">TestData!#REF!</definedName>
    <definedName name="CVT">TestData!#REF!</definedName>
    <definedName name="ELDERPLAN">TestData!$V$2</definedName>
    <definedName name="ELP" localSheetId="7">TestData!#REF!</definedName>
    <definedName name="ELP">TestData!#REF!</definedName>
    <definedName name="HEALTHNET">TestData!$W$2:$W$3</definedName>
    <definedName name="HEALTHNET1" localSheetId="7">TestData!#REF!</definedName>
    <definedName name="HEALTHNET1">TestData!#REF!</definedName>
    <definedName name="HEALTHPLANS">TestData!$R$2:$R$16</definedName>
    <definedName name="HEALTHSPRING" localSheetId="7">TestData!#REF!</definedName>
    <definedName name="HEALTHSPRING">TestData!#REF!</definedName>
    <definedName name="HMSA">TestData!$X$2</definedName>
    <definedName name="HNET" localSheetId="7">TestData!#REF!</definedName>
    <definedName name="HNET">TestData!#REF!</definedName>
    <definedName name="MEDICA">TestData!$Y$2</definedName>
    <definedName name="MOUNTCARMEL">TestData!$Z$2</definedName>
    <definedName name="MTC" localSheetId="7">TestData!#REF!</definedName>
    <definedName name="MTC">TestData!#REF!</definedName>
    <definedName name="NAMM">TestData!$AA$2:$AA$48</definedName>
    <definedName name="SH" localSheetId="7">TestData!#REF!</definedName>
    <definedName name="SH">TestData!#REF!</definedName>
    <definedName name="TUF" localSheetId="7">TestData!#REF!</definedName>
    <definedName name="TUF">TestData!#REF!</definedName>
    <definedName name="TUFTS">TestData!$AB$2</definedName>
    <definedName name="UCARE">TestData!$AC$2</definedName>
    <definedName name="UCR" localSheetId="7">TestData!#REF!</definedName>
    <definedName name="UCR">TestData!#REF!</definedName>
    <definedName name="UHCCS">TestData!$AD$2:$AD$4</definedName>
    <definedName name="UHCMR">TestData!$AE$2:$AE$11</definedName>
    <definedName name="UOV">TestData!$AF$2</definedName>
    <definedName name="WINDSOR">TestData!$AG$2:$AG$7</definedName>
  </definedNames>
  <calcPr calcId="145621"/>
</workbook>
</file>

<file path=xl/calcChain.xml><?xml version="1.0" encoding="utf-8"?>
<calcChain xmlns="http://schemas.openxmlformats.org/spreadsheetml/2006/main">
  <c r="C54" i="7" l="1"/>
  <c r="D65" i="8" l="1"/>
  <c r="D57" i="8"/>
  <c r="D44" i="8"/>
  <c r="D43" i="8"/>
  <c r="D42" i="8"/>
  <c r="D41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3" i="8"/>
  <c r="D2" i="8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 xml:space="preserve">Segment Identifier.  </t>
        </r>
        <r>
          <rPr>
            <sz val="9"/>
            <color indexed="81"/>
            <rFont val="Tahoma"/>
            <family val="2"/>
          </rPr>
          <t xml:space="preserve">
Valid Values:   ‘AAA’ 
A/N(3)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Must be ‘AAA’ or entire file will reject.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 xml:space="preserve">Segment sequence id.  
</t>
        </r>
        <r>
          <rPr>
            <sz val="9"/>
            <color indexed="81"/>
            <rFont val="Tahoma"/>
            <family val="2"/>
          </rPr>
          <t>A running sequence for every ‘AAA’ segment in the file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N(9)</t>
        </r>
        <r>
          <rPr>
            <b/>
            <sz val="9"/>
            <color indexed="81"/>
            <rFont val="Tahoma"/>
            <family val="2"/>
          </rPr>
          <t xml:space="preserve"> O 
</t>
        </r>
        <r>
          <rPr>
            <sz val="9"/>
            <color indexed="81"/>
            <rFont val="Tahoma"/>
            <family val="2"/>
          </rPr>
          <t xml:space="preserve">Reserved for future use.
</t>
        </r>
      </text>
    </comment>
    <comment ref="B4" authorId="0">
      <text>
        <r>
          <rPr>
            <sz val="9"/>
            <color indexed="81"/>
            <rFont val="Tahoma"/>
            <family val="2"/>
          </rPr>
          <t xml:space="preserve">Repeats for each ‘AAA’ segment in the file. 
N(9) 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 xml:space="preserve"> 
Client file Identifier.  Reserved for future use.  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Transaction Date</t>
        </r>
        <r>
          <rPr>
            <sz val="9"/>
            <color indexed="81"/>
            <rFont val="Tahoma"/>
            <family val="2"/>
          </rPr>
          <t xml:space="preserve">
Repeats for each ‘AAA’ segment in the file. 
DATE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 
Timestamp of when this file was created.  MM/DD/YYYY:HHMMSS.  Entire file will reject if timestamp is not populated.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 
Unique Project Identifier 
A/N(15)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Project Name</t>
        </r>
        <r>
          <rPr>
            <sz val="9"/>
            <color indexed="81"/>
            <rFont val="Tahoma"/>
            <family val="2"/>
          </rPr>
          <t xml:space="preserve"> 
Name of this Chart Review  
A/N (50)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
</t>
        </r>
      </text>
    </comment>
  </commentList>
</comments>
</file>

<file path=xl/comments2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
Unique Project Identifier
A/N(15)
This  needs to match a project in ChartSync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Barcode ID</t>
        </r>
        <r>
          <rPr>
            <sz val="9"/>
            <color indexed="81"/>
            <rFont val="Tahoma"/>
            <family val="2"/>
          </rPr>
          <t xml:space="preserve">
Unique ID for this member/provider combination.  
A/N (100)
Must match a valid barcode record in the ChartSync system for this project.  Otherwise, fail this record/barcode  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 xml:space="preserve">From Date of Service :
</t>
        </r>
        <r>
          <rPr>
            <sz val="9"/>
            <color indexed="81"/>
            <rFont val="Tahoma"/>
            <family val="2"/>
          </rPr>
          <t xml:space="preserve">From Date of Service
DATE
MM/DD/YYYY.  If invalid format, fail this record/barcode  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Thru Date of Service</t>
        </r>
        <r>
          <rPr>
            <sz val="9"/>
            <color indexed="81"/>
            <rFont val="Tahoma"/>
            <family val="2"/>
          </rPr>
          <t xml:space="preserve">
DATE
MM/DD/YYYY.  If invalid format, fail this record/barcode.
End date must be greater than or equal to start date.  Otherwise, reject Barcode 
If date is 2099, change to 12/31/1999 , do not perform a validation on ICD value. 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Encounter key</t>
        </r>
        <r>
          <rPr>
            <sz val="9"/>
            <color indexed="81"/>
            <rFont val="Tahoma"/>
            <family val="2"/>
          </rPr>
          <t xml:space="preserve">
Ops’s unique key
A/N(9)
Up to 9 characters (may be 8) 
This field is not needed from the external vendor APPENDDX file.</t>
        </r>
      </text>
    </comment>
  </commentList>
</comments>
</file>

<file path=xl/sharedStrings.xml><?xml version="1.0" encoding="utf-8"?>
<sst xmlns="http://schemas.openxmlformats.org/spreadsheetml/2006/main" count="1306" uniqueCount="557">
  <si>
    <t>Field Type</t>
  </si>
  <si>
    <t>Field Name</t>
  </si>
  <si>
    <t>Segment Identifier</t>
  </si>
  <si>
    <t>Project Name</t>
  </si>
  <si>
    <t>Sequence Number</t>
  </si>
  <si>
    <t>Member ID</t>
  </si>
  <si>
    <t>Member State</t>
  </si>
  <si>
    <t>Member Health Plan</t>
  </si>
  <si>
    <t>DTL</t>
  </si>
  <si>
    <t>Provider Last Name</t>
  </si>
  <si>
    <t>Provider First Name</t>
  </si>
  <si>
    <t>Provider Address 1</t>
  </si>
  <si>
    <t>Provider Address 2</t>
  </si>
  <si>
    <t>Provider City</t>
  </si>
  <si>
    <t>Provider State</t>
  </si>
  <si>
    <t>Provider ZIP</t>
  </si>
  <si>
    <t>Provider Phone</t>
  </si>
  <si>
    <t>Provider Group ID</t>
  </si>
  <si>
    <t>Provider Group Name</t>
  </si>
  <si>
    <t>DTL Count</t>
  </si>
  <si>
    <t>TRA</t>
  </si>
  <si>
    <t>Data_Field-1</t>
  </si>
  <si>
    <t>Field Selection</t>
  </si>
  <si>
    <t>Have</t>
  </si>
  <si>
    <t>Don't Have</t>
  </si>
  <si>
    <t>A</t>
  </si>
  <si>
    <t>1</t>
  </si>
  <si>
    <t>03/07/1987</t>
  </si>
  <si>
    <t>AutoProvLName</t>
  </si>
  <si>
    <t>AutoProvFName</t>
  </si>
  <si>
    <t>Y</t>
  </si>
  <si>
    <t>Auto007</t>
  </si>
  <si>
    <t>AutoProvGrpName</t>
  </si>
  <si>
    <t>10</t>
  </si>
  <si>
    <t>NV</t>
  </si>
  <si>
    <t>S.No</t>
  </si>
  <si>
    <t>DB_HOST</t>
  </si>
  <si>
    <t>DB_DATABASE</t>
  </si>
  <si>
    <t>DB_USERNAME</t>
  </si>
  <si>
    <t>DB_PASSWORD</t>
  </si>
  <si>
    <t>DB_PORT</t>
  </si>
  <si>
    <t>1521</t>
  </si>
  <si>
    <t>EMR</t>
  </si>
  <si>
    <t>EMR Name</t>
  </si>
  <si>
    <t>CA</t>
  </si>
  <si>
    <t>External system id</t>
  </si>
  <si>
    <t>Project ID</t>
  </si>
  <si>
    <t>Chart ID</t>
  </si>
  <si>
    <t>Form Type</t>
  </si>
  <si>
    <t>MemberHIC</t>
  </si>
  <si>
    <t>MemberFirst Name</t>
  </si>
  <si>
    <t>MemberMiddle Initial</t>
  </si>
  <si>
    <t>MemberLast Name</t>
  </si>
  <si>
    <t>Membe DOB</t>
  </si>
  <si>
    <t>Source</t>
  </si>
  <si>
    <t>LOB</t>
  </si>
  <si>
    <t>Site CD</t>
  </si>
  <si>
    <t>Provider ID</t>
  </si>
  <si>
    <t>Provider Specialty</t>
  </si>
  <si>
    <t>Beg Service Date</t>
  </si>
  <si>
    <t>End Service Date</t>
  </si>
  <si>
    <t>Prim DX</t>
  </si>
  <si>
    <t>ICD-9_Code</t>
  </si>
  <si>
    <t>HCC Code</t>
  </si>
  <si>
    <t>RXHCC Code</t>
  </si>
  <si>
    <t>Error Code 1</t>
  </si>
  <si>
    <t>Error Code Description 1</t>
  </si>
  <si>
    <t>Error Code 2</t>
  </si>
  <si>
    <t>Error Code Description 2</t>
  </si>
  <si>
    <t>Error Code 3</t>
  </si>
  <si>
    <t>Error Code Description 3</t>
  </si>
  <si>
    <t>Payment</t>
  </si>
  <si>
    <t>Run Date</t>
  </si>
  <si>
    <t>Market Outreach Rep</t>
  </si>
  <si>
    <t>Payment Check Box1</t>
  </si>
  <si>
    <t>Payment Check Box2</t>
  </si>
  <si>
    <t>Payment Check Box3</t>
  </si>
  <si>
    <t>Payment Check Box4</t>
  </si>
  <si>
    <t>Payment Check Box5</t>
  </si>
  <si>
    <t>Payment Note</t>
  </si>
  <si>
    <t>Last Chart Status</t>
  </si>
  <si>
    <t>Insite Group Id</t>
  </si>
  <si>
    <t>Insite Group Name</t>
  </si>
  <si>
    <t>Plan Code</t>
  </si>
  <si>
    <t>Review Type</t>
  </si>
  <si>
    <t>Coded On</t>
  </si>
  <si>
    <t>Coded By</t>
  </si>
  <si>
    <t>Client Request Id</t>
  </si>
  <si>
    <t>Pass Validation</t>
  </si>
  <si>
    <t>Manual Change</t>
  </si>
  <si>
    <t>EO_Code_Changed</t>
  </si>
  <si>
    <t>Notes</t>
  </si>
  <si>
    <t>AnyThing</t>
  </si>
  <si>
    <t>50.01</t>
  </si>
  <si>
    <t>02/03/2011</t>
  </si>
  <si>
    <t>Apollo Hospitals</t>
  </si>
  <si>
    <t>True</t>
  </si>
  <si>
    <t>False</t>
  </si>
  <si>
    <t>Star Care Hospitals</t>
  </si>
  <si>
    <t>Received</t>
  </si>
  <si>
    <t>InsiteGP123654</t>
  </si>
  <si>
    <t>InsiteGP Name</t>
  </si>
  <si>
    <t>HP No 123</t>
  </si>
  <si>
    <t>04/05/2011</t>
  </si>
  <si>
    <t>Autouser210</t>
  </si>
  <si>
    <t>Client ID</t>
  </si>
  <si>
    <t>Comment Section</t>
  </si>
  <si>
    <t xml:space="preserve">Project Data </t>
  </si>
  <si>
    <t>CF</t>
  </si>
  <si>
    <t>32345</t>
  </si>
  <si>
    <t>08</t>
  </si>
  <si>
    <t>9120009999</t>
  </si>
  <si>
    <t xml:space="preserve"> </t>
  </si>
  <si>
    <t>Barcode ID</t>
  </si>
  <si>
    <t>Status</t>
  </si>
  <si>
    <t>Status Update Date</t>
  </si>
  <si>
    <t>Retrieved By Last Name</t>
  </si>
  <si>
    <t>Retrieved By First Name</t>
  </si>
  <si>
    <t>PNP Code</t>
  </si>
  <si>
    <t>Reject E&amp;O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</si>
  <si>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</si>
  <si>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</si>
  <si>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</si>
  <si>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</si>
  <si>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</si>
  <si>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</si>
  <si>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</si>
  <si>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</si>
  <si>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</si>
  <si>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</si>
  <si>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</si>
  <si>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</si>
  <si>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</si>
  <si>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</si>
  <si>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</si>
  <si>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</si>
  <si>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</si>
  <si>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</si>
  <si>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Field-SENT</t>
  </si>
  <si>
    <t>Field-INTAKEREJ</t>
  </si>
  <si>
    <t>Field-CODINGREJ</t>
  </si>
  <si>
    <t>Field-PNPREL</t>
  </si>
  <si>
    <t>Field-SCHEDULED</t>
  </si>
  <si>
    <t>Field-CANCELLED</t>
  </si>
  <si>
    <t>Field-RELEASED</t>
  </si>
  <si>
    <t>CNA</t>
  </si>
  <si>
    <t>PNP</t>
  </si>
  <si>
    <t>SENT</t>
  </si>
  <si>
    <t>INTAKEREJ</t>
  </si>
  <si>
    <t>CODINGREJ</t>
  </si>
  <si>
    <t>PNPRELEASE</t>
  </si>
  <si>
    <t>SCHEDULED</t>
  </si>
  <si>
    <t>CANCELED</t>
  </si>
  <si>
    <t>RELEASED</t>
  </si>
  <si>
    <t>SNF</t>
  </si>
  <si>
    <t>TEXAS</t>
  </si>
  <si>
    <t>TO DOOR NO  02401</t>
  </si>
  <si>
    <t>TO 6 OAK STRET</t>
  </si>
  <si>
    <t>Record ID</t>
  </si>
  <si>
    <t>File ID</t>
  </si>
  <si>
    <t>Transaction Date</t>
  </si>
  <si>
    <t>From Date of Service</t>
  </si>
  <si>
    <t>Thru Date of Service</t>
  </si>
  <si>
    <t>Service Type</t>
  </si>
  <si>
    <t>E&amp;O 1</t>
  </si>
  <si>
    <t>E&amp;O 2</t>
  </si>
  <si>
    <t>E&amp;O 3</t>
  </si>
  <si>
    <t>Page Number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</si>
  <si>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</si>
  <si>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</si>
  <si>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</si>
  <si>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</si>
  <si>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</si>
  <si>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</si>
  <si>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</si>
  <si>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</si>
  <si>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</si>
  <si>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</si>
  <si>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</si>
  <si>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</si>
  <si>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</si>
  <si>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</si>
  <si>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</si>
  <si>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ICD-9</t>
  </si>
  <si>
    <t>Primary Indicator</t>
  </si>
  <si>
    <t>DDD Record Total</t>
  </si>
  <si>
    <t>CCC Record Total</t>
  </si>
  <si>
    <t>BBB Record Total</t>
  </si>
  <si>
    <t>AAA Record Total</t>
  </si>
  <si>
    <t>AAA</t>
  </si>
  <si>
    <t>BBB</t>
  </si>
  <si>
    <t>CCC</t>
  </si>
  <si>
    <t>DDD</t>
  </si>
  <si>
    <t>WWW</t>
  </si>
  <si>
    <t>XXX</t>
  </si>
  <si>
    <t>YYY</t>
  </si>
  <si>
    <t>ZZZ</t>
  </si>
  <si>
    <t>123456789</t>
  </si>
  <si>
    <t>987654321</t>
  </si>
  <si>
    <t>PAFID</t>
  </si>
  <si>
    <t>OP_23</t>
  </si>
  <si>
    <t>&lt;Will Fetch From DB&gt;</t>
  </si>
  <si>
    <t>OP</t>
  </si>
  <si>
    <t>1234567890</t>
  </si>
  <si>
    <t>9876543210</t>
  </si>
  <si>
    <t xml:space="preserve">Tool Prov First Name </t>
  </si>
  <si>
    <t>T</t>
  </si>
  <si>
    <t xml:space="preserve">Tool Prov Last Name </t>
  </si>
  <si>
    <t xml:space="preserve">Tool Prov Group Name </t>
  </si>
  <si>
    <t>Tool Prov Address 1</t>
  </si>
  <si>
    <t>Tool Prov Address 2</t>
  </si>
  <si>
    <t>Tool Prov City</t>
  </si>
  <si>
    <t>55555-5555</t>
  </si>
  <si>
    <t>7202608400</t>
  </si>
  <si>
    <t>9291511170</t>
  </si>
  <si>
    <t>E-mail@ChartSync.Tool</t>
  </si>
  <si>
    <t>01</t>
  </si>
  <si>
    <t>250.00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</si>
  <si>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</si>
  <si>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</si>
  <si>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</si>
  <si>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</si>
  <si>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</si>
  <si>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</si>
  <si>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</si>
  <si>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</si>
  <si>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</si>
  <si>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</si>
  <si>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</si>
  <si>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</si>
  <si>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01/11/2012</t>
  </si>
  <si>
    <t>255.0</t>
  </si>
  <si>
    <t>11/27/2012:135249</t>
  </si>
  <si>
    <t>Password</t>
  </si>
  <si>
    <t>Icognizant</t>
  </si>
  <si>
    <t>07/06/2012</t>
  </si>
  <si>
    <t>07/12/2012</t>
  </si>
  <si>
    <t>1234560789</t>
  </si>
  <si>
    <t>1234560790</t>
  </si>
  <si>
    <t>1234560791</t>
  </si>
  <si>
    <t>1234560792</t>
  </si>
  <si>
    <t>1234560793</t>
  </si>
  <si>
    <t>B</t>
  </si>
  <si>
    <t>D</t>
  </si>
  <si>
    <t>E</t>
  </si>
  <si>
    <t>Tool Add Name3</t>
  </si>
  <si>
    <t>Tool Add Name4</t>
  </si>
  <si>
    <t>11234-3467</t>
  </si>
  <si>
    <t>7202408400</t>
  </si>
  <si>
    <t>7202608300</t>
  </si>
  <si>
    <t>7202608412</t>
  </si>
  <si>
    <t>Tool Add Name5</t>
  </si>
  <si>
    <t>Tool Add Name7</t>
  </si>
  <si>
    <t>Tool Add Name8</t>
  </si>
  <si>
    <t>11234-3468</t>
  </si>
  <si>
    <t>11234-3470</t>
  </si>
  <si>
    <t>11234-3471</t>
  </si>
  <si>
    <t>Data_Field-11</t>
  </si>
  <si>
    <t>Data_Field-12</t>
  </si>
  <si>
    <t>Data_Field-13</t>
  </si>
  <si>
    <t>Data_Field-14</t>
  </si>
  <si>
    <t>Data_Field-15</t>
  </si>
  <si>
    <t>10/30/2012</t>
  </si>
  <si>
    <t>197.3</t>
  </si>
  <si>
    <t>260</t>
  </si>
  <si>
    <t>268.0</t>
  </si>
  <si>
    <t>272.0</t>
  </si>
  <si>
    <t>258.1</t>
  </si>
  <si>
    <t>342.80</t>
  </si>
  <si>
    <t>292.0</t>
  </si>
  <si>
    <t>D13</t>
  </si>
  <si>
    <t>D04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</si>
  <si>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</si>
  <si>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</si>
  <si>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</si>
  <si>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</si>
  <si>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</si>
  <si>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</si>
  <si>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</si>
  <si>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</si>
  <si>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</si>
  <si>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VRF CAN Comments</t>
  </si>
  <si>
    <t>VRF CNA Comments</t>
  </si>
  <si>
    <t>VRF PNP Comments</t>
  </si>
  <si>
    <t>VRF RTD Comments</t>
  </si>
  <si>
    <t>VRF SENT Comments</t>
  </si>
  <si>
    <t>VRF INTK Comments</t>
  </si>
  <si>
    <t>VRF CDG Comments</t>
  </si>
  <si>
    <t>VRF PREL Comments</t>
  </si>
  <si>
    <t>VRF SCH Comments</t>
  </si>
  <si>
    <t>VRF REL Comments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</si>
  <si>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</si>
  <si>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</si>
  <si>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</si>
  <si>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</si>
  <si>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</si>
  <si>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</si>
  <si>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</si>
  <si>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</si>
  <si>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</si>
  <si>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</si>
  <si>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</si>
  <si>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</si>
  <si>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</si>
  <si>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</si>
  <si>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</si>
  <si>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</si>
  <si>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</si>
  <si>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</si>
  <si>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</si>
  <si>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AMC</t>
  </si>
  <si>
    <t>D02</t>
  </si>
  <si>
    <t>C06</t>
  </si>
  <si>
    <t>D05</t>
  </si>
  <si>
    <t>05/17/2011</t>
  </si>
  <si>
    <t>COMP</t>
  </si>
  <si>
    <t>10/10/2012</t>
  </si>
  <si>
    <t>TOPROVLENAME04</t>
  </si>
  <si>
    <t>TOPROVFENAME04</t>
  </si>
  <si>
    <t>Tool First Name</t>
  </si>
  <si>
    <t>Tool Last Name</t>
  </si>
  <si>
    <t>Tool Grp Name</t>
  </si>
  <si>
    <t>Tool City</t>
  </si>
  <si>
    <t>Tool CitS</t>
  </si>
  <si>
    <t>&lt;Will Fetch From Tool&gt;</t>
  </si>
  <si>
    <t>Encounter key</t>
  </si>
  <si>
    <t>E&amp;O 4</t>
  </si>
  <si>
    <t>E&amp;O 5</t>
  </si>
  <si>
    <t>E&amp;O 6</t>
  </si>
  <si>
    <t>Dx key</t>
  </si>
  <si>
    <t>Primary dx</t>
  </si>
  <si>
    <t>iCodify</t>
  </si>
  <si>
    <t>Form type</t>
  </si>
  <si>
    <t>PAF ID</t>
  </si>
  <si>
    <t>PDF page number</t>
  </si>
  <si>
    <t>Delete Comment</t>
  </si>
  <si>
    <t>Image status</t>
  </si>
  <si>
    <t>Batch type</t>
  </si>
  <si>
    <t>Note type</t>
  </si>
  <si>
    <t>Coding Reject</t>
  </si>
  <si>
    <t>CODREJ</t>
  </si>
  <si>
    <t>05/05/2013</t>
  </si>
  <si>
    <t>04/04/2012</t>
  </si>
  <si>
    <t>05/09/2013</t>
  </si>
  <si>
    <t>10/11/2012</t>
  </si>
  <si>
    <t>01/11/2013</t>
  </si>
  <si>
    <t>03/07/2013</t>
  </si>
  <si>
    <t>06/25/2013</t>
  </si>
  <si>
    <t>VRFEMRYes1</t>
  </si>
  <si>
    <t>CAPE</t>
  </si>
  <si>
    <t>07/07/2013</t>
  </si>
  <si>
    <t>TRIGGER_CHART5_</t>
  </si>
  <si>
    <t>TRIG05D</t>
  </si>
  <si>
    <t>THIC05D</t>
  </si>
  <si>
    <t>TRI5_ENAME</t>
  </si>
  <si>
    <t>C_BNA_272136345</t>
  </si>
  <si>
    <t>PRFEPAF5</t>
  </si>
  <si>
    <t>PFECHRT5</t>
  </si>
  <si>
    <t>427.81</t>
  </si>
  <si>
    <t>AETNA</t>
  </si>
  <si>
    <t>2</t>
  </si>
  <si>
    <t>3</t>
  </si>
  <si>
    <t>4</t>
  </si>
  <si>
    <t>5</t>
  </si>
  <si>
    <t>6</t>
  </si>
  <si>
    <t>GUIDELINES TO RUN THE EMERALD Utility</t>
  </si>
  <si>
    <t>EMERALD Utility</t>
  </si>
  <si>
    <t>M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</si>
  <si>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</si>
  <si>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</si>
  <si>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</si>
  <si>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</si>
  <si>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</si>
  <si>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</si>
  <si>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S.NO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</si>
  <si>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</si>
  <si>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</si>
  <si>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</si>
  <si>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</si>
  <si>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</si>
  <si>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</si>
  <si>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</si>
  <si>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SILVER</t>
  </si>
  <si>
    <t>PLATINUM</t>
  </si>
  <si>
    <t>EMERALD</t>
  </si>
  <si>
    <t>DIAMOND</t>
  </si>
  <si>
    <t>DIABETES</t>
  </si>
  <si>
    <t>Length</t>
  </si>
  <si>
    <t>EVCT</t>
  </si>
  <si>
    <t>UCR</t>
  </si>
  <si>
    <t>UCARE</t>
  </si>
  <si>
    <t>BRVO</t>
  </si>
  <si>
    <t>WINDSOR</t>
  </si>
  <si>
    <t>ELDERPLAN</t>
  </si>
  <si>
    <t>MTC</t>
  </si>
  <si>
    <t>UOV</t>
  </si>
  <si>
    <t>CVT</t>
  </si>
  <si>
    <t>CIGNA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</si>
  <si>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</si>
  <si>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</si>
  <si>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</si>
  <si>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</si>
  <si>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</si>
  <si>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</si>
  <si>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</si>
  <si>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</si>
  <si>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</si>
  <si>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SRA</t>
  </si>
  <si>
    <t>WEST</t>
  </si>
  <si>
    <t>EAST</t>
  </si>
  <si>
    <t>PFFS</t>
  </si>
  <si>
    <t>PCP</t>
  </si>
  <si>
    <t>PDP</t>
  </si>
  <si>
    <t>XLH</t>
  </si>
  <si>
    <t>TFT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</si>
  <si>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</si>
  <si>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</si>
  <si>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</si>
  <si>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</si>
  <si>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</si>
  <si>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</si>
  <si>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</si>
  <si>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</si>
  <si>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</si>
  <si>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</si>
  <si>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</si>
  <si>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</si>
  <si>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</si>
  <si>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</si>
  <si>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</si>
  <si>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</si>
  <si>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</si>
  <si>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</si>
  <si>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</si>
  <si>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</si>
  <si>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</si>
  <si>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</si>
  <si>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</si>
  <si>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</si>
  <si>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</si>
  <si>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</si>
  <si>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</si>
  <si>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</si>
  <si>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</si>
  <si>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</si>
  <si>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</si>
  <si>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</si>
  <si>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</si>
  <si>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</si>
  <si>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</si>
  <si>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</si>
  <si>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</si>
  <si>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</si>
  <si>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</si>
  <si>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</si>
  <si>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</si>
  <si>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</si>
  <si>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</si>
  <si>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</si>
  <si>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</si>
  <si>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</si>
  <si>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</si>
  <si>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</si>
  <si>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</si>
  <si>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</si>
  <si>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</si>
  <si>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</si>
  <si>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UAT</t>
  </si>
  <si>
    <t>SYS</t>
  </si>
  <si>
    <t>STG</t>
  </si>
  <si>
    <t>DEV</t>
  </si>
  <si>
    <t>HICN_NO</t>
  </si>
  <si>
    <t>CMS_MMR_KEY</t>
  </si>
  <si>
    <t>PAYMENT_DATE_YM</t>
  </si>
  <si>
    <t>PAYMENT_ADJ_START_DATE</t>
  </si>
  <si>
    <t>PAYMENT_ADJ_END_DATE</t>
  </si>
  <si>
    <t>CONTRACT_NO</t>
  </si>
  <si>
    <t>PBP_VALUE</t>
  </si>
  <si>
    <t>LAST_NAME</t>
  </si>
  <si>
    <t>FIRST_INITIAL</t>
  </si>
  <si>
    <t>RUN_DATE</t>
  </si>
  <si>
    <t>MSP_REDUCTN_ADJ_AMOUNT_PART_A</t>
  </si>
  <si>
    <t>MSP_REDUCTN_ADJ_AMOUNT_PART_B</t>
  </si>
  <si>
    <t>PROCESS_LOG_KEY</t>
  </si>
  <si>
    <t>HICChangeIndicator</t>
  </si>
  <si>
    <t>141120001S</t>
  </si>
  <si>
    <t>ENROLLMENT_STATUS</t>
  </si>
  <si>
    <t>ADJ_REASON_CODE</t>
  </si>
  <si>
    <t>PARTA_ENTITLEMENT_FLG</t>
  </si>
  <si>
    <t>PARTB_ENTITLEMENT_FLG</t>
  </si>
  <si>
    <t>GENDER</t>
  </si>
  <si>
    <t>DATE_OF_BIRTH</t>
  </si>
  <si>
    <t>SCC</t>
  </si>
  <si>
    <t>PART_A_PAYMENT_ADJ_MONTHS_CNT</t>
  </si>
  <si>
    <t>PART_B_PAYMENT_ADJ_MONTHS_CNT</t>
  </si>
  <si>
    <t>ESRD_FLG</t>
  </si>
  <si>
    <t>ESRD_MEMBER_MSP_FLG</t>
  </si>
  <si>
    <t>WORKING_AGED_FLG</t>
  </si>
  <si>
    <t>ORG_REASON_FOR_ENTITLEMENT</t>
  </si>
  <si>
    <t>RISK_ADJ_FACTOR_A</t>
  </si>
  <si>
    <t>RISK_ADJ_FACTOR_B</t>
  </si>
  <si>
    <t>TOTAL_MA_PAYMT_AMT</t>
  </si>
  <si>
    <t>MSP_FACTOR</t>
  </si>
  <si>
    <t>InputHICNumber</t>
  </si>
  <si>
    <t>HICNumber</t>
  </si>
  <si>
    <t>HICEffectiveDate</t>
  </si>
  <si>
    <t>HICTermDate</t>
  </si>
  <si>
    <t>ReturnCode</t>
  </si>
  <si>
    <t>ReturnCodeDescription</t>
  </si>
  <si>
    <t>0</t>
  </si>
  <si>
    <t>Request completed successfully</t>
  </si>
  <si>
    <t>H5253</t>
  </si>
  <si>
    <t>028</t>
  </si>
  <si>
    <t>1928-05-15 00:00:00</t>
  </si>
  <si>
    <t>31320</t>
  </si>
  <si>
    <t>2014-01-01 00:00:00</t>
  </si>
  <si>
    <t>2014-01-31 00:00:00</t>
  </si>
  <si>
    <t>746.3799999999999</t>
  </si>
  <si>
    <t>396.11000000000001</t>
  </si>
  <si>
    <t>350.26999999999998</t>
  </si>
  <si>
    <t>310842990</t>
  </si>
  <si>
    <t>201401</t>
  </si>
  <si>
    <t>2013-12-10 00:00:00</t>
  </si>
  <si>
    <t>AutoTester</t>
  </si>
  <si>
    <t>CDW_RESTATE_MMR</t>
  </si>
  <si>
    <t>CDW_FLAT_MMR</t>
  </si>
  <si>
    <t>CDW_HICHISTORY</t>
  </si>
  <si>
    <t>dbsrt0206.uhc.com</t>
  </si>
  <si>
    <t>msp0ts00.uhc.com</t>
  </si>
  <si>
    <t>msp</t>
  </si>
  <si>
    <t>igloo2014</t>
  </si>
  <si>
    <t>MSP TEST DATA</t>
  </si>
  <si>
    <t>MSP Utility</t>
  </si>
  <si>
    <t>MSP TOOL SETTINGS</t>
  </si>
  <si>
    <t>FN_RESTATE_MMR_FILENAME</t>
  </si>
  <si>
    <t>FN_FLAT_MMR_FILENAME</t>
  </si>
  <si>
    <t>FN_HIC_HISTORY_FILENAME</t>
  </si>
  <si>
    <t>DB_QUERY_RESTATE_PRC_KEY</t>
  </si>
  <si>
    <t>Field_Selection</t>
  </si>
  <si>
    <t>DB_QUERY_FLAT_PRC_KEY</t>
  </si>
  <si>
    <t>DB_QUERY_CMS_PRC_KEY</t>
  </si>
  <si>
    <t>Data_Append</t>
  </si>
  <si>
    <t>0000</t>
  </si>
  <si>
    <t>GENERATE_UNIQUE_BEGIN</t>
  </si>
  <si>
    <t>GENERATE_UNIQUE_END</t>
  </si>
  <si>
    <t>To Generate Unique Data for every Field, appending at last</t>
  </si>
  <si>
    <t>To Generate Unique Data for every Field, appending at first</t>
  </si>
  <si>
    <t>&lt;Generate Dynamic&gt;</t>
  </si>
  <si>
    <t>&lt;Fetch From DB&gt;</t>
  </si>
  <si>
    <t>SELECT MAX(A.process_log_key) + 1 FROM Msp.Cms_Mmr_Restate A</t>
  </si>
  <si>
    <t>SELECT MAX(A.process_log_key) + 1 FROM Msp.Cms_Mmr_Flat A</t>
  </si>
  <si>
    <t>SELECT MAX(A.cms_mmr_key) + 1 FROM Msp.Cms_Mmr_Flat A</t>
  </si>
  <si>
    <t>Store_Value</t>
  </si>
  <si>
    <t>Field_Value</t>
  </si>
  <si>
    <t>FLD_HIC_GENERATION</t>
  </si>
  <si>
    <t>TZ</t>
  </si>
  <si>
    <t>FJ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</si>
</sst>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sz val="8"/>
      <color theme="1"/>
      <name val="Arial"/>
      <family val="2"/>
    </font>
    <font>
      <b/>
      <u/>
      <sz val="11"/>
      <color rgb="FFFF8080"/>
      <name val="Calibri"/>
      <family val="2"/>
    </font>
    <font>
      <u/>
      <sz val="18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2" fillId="5" borderId="1" xfId="0" applyFont="1" applyFill="1" applyBorder="1" applyAlignment="1">
      <alignment wrapText="1"/>
    </xf>
    <xf numFmtId="2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6" borderId="1" xfId="0" applyFill="1" applyBorder="1"/>
    <xf numFmtId="0" fontId="0" fillId="7" borderId="1" xfId="0" applyFill="1" applyBorder="1"/>
    <xf numFmtId="0" fontId="0" fillId="0" borderId="1" xfId="0" applyFill="1" applyBorder="1" applyProtection="1">
      <protection locked="0"/>
    </xf>
    <xf numFmtId="49" fontId="0" fillId="0" borderId="1" xfId="0" applyNumberFormat="1" applyBorder="1"/>
    <xf numFmtId="0" fontId="1" fillId="0" borderId="3" xfId="0" applyFont="1" applyFill="1" applyBorder="1" applyAlignment="1" applyProtection="1">
      <alignment wrapText="1"/>
    </xf>
    <xf numFmtId="0" fontId="0" fillId="0" borderId="1" xfId="0" applyNumberFormat="1" applyBorder="1"/>
    <xf numFmtId="0" fontId="0" fillId="0" borderId="1" xfId="0" applyBorder="1"/>
    <xf numFmtId="49" fontId="0" fillId="0" borderId="4" xfId="0" applyNumberFormat="1" applyBorder="1" applyAlignment="1" applyProtection="1">
      <alignment wrapText="1"/>
      <protection locked="0"/>
    </xf>
    <xf numFmtId="49" fontId="0" fillId="8" borderId="1" xfId="0" applyNumberFormat="1" applyFill="1" applyBorder="1" applyAlignment="1" applyProtection="1">
      <alignment wrapText="1"/>
      <protection locked="0"/>
    </xf>
    <xf numFmtId="0" fontId="1" fillId="8" borderId="1" xfId="0" applyFont="1" applyFill="1" applyBorder="1" applyAlignment="1" applyProtection="1">
      <alignment wrapText="1"/>
    </xf>
    <xf numFmtId="0" fontId="0" fillId="8" borderId="1" xfId="0" applyFill="1" applyBorder="1" applyAlignment="1" applyProtection="1">
      <alignment wrapText="1"/>
      <protection locked="0"/>
    </xf>
    <xf numFmtId="0" fontId="0" fillId="8" borderId="1" xfId="0" applyFill="1" applyBorder="1" applyAlignment="1" applyProtection="1">
      <alignment horizontal="left" wrapText="1"/>
      <protection locked="0"/>
    </xf>
    <xf numFmtId="0" fontId="1" fillId="0" borderId="1" xfId="0" applyFont="1" applyFill="1" applyBorder="1" applyAlignment="1" applyProtection="1"/>
    <xf numFmtId="0" fontId="0" fillId="3" borderId="1" xfId="0" applyFill="1" applyBorder="1" applyAlignment="1"/>
    <xf numFmtId="0" fontId="6" fillId="0" borderId="2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8" fillId="0" borderId="1" xfId="0" applyFont="1" applyBorder="1" applyAlignment="1">
      <alignment wrapText="1"/>
    </xf>
    <xf numFmtId="0" fontId="9" fillId="0" borderId="2" xfId="0" applyFont="1" applyBorder="1" applyAlignment="1">
      <alignment wrapText="1"/>
    </xf>
    <xf numFmtId="0" fontId="9" fillId="0" borderId="1" xfId="0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1" fillId="0" borderId="2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2" fillId="0" borderId="1" xfId="0" applyFont="1" applyBorder="1" applyAlignment="1">
      <alignment wrapText="1"/>
    </xf>
    <xf numFmtId="0" fontId="13" fillId="0" borderId="1" xfId="0" applyFont="1" applyBorder="1" applyAlignment="1">
      <alignment wrapText="1"/>
    </xf>
    <xf numFmtId="49" fontId="1" fillId="9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49" fontId="0" fillId="0" borderId="0" xfId="0" applyNumberFormat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49" fontId="0" fillId="0" borderId="0" xfId="0" applyNumberFormat="1" applyAlignment="1"/>
    <xf numFmtId="0" fontId="0" fillId="0" borderId="2" xfId="0" applyBorder="1"/>
    <xf numFmtId="0" fontId="1" fillId="0" borderId="8" xfId="0" applyFont="1" applyBorder="1"/>
    <xf numFmtId="0" fontId="1" fillId="0" borderId="9" xfId="0" applyFont="1" applyBorder="1"/>
    <xf numFmtId="0" fontId="0" fillId="10" borderId="2" xfId="0" applyFill="1" applyBorder="1"/>
    <xf numFmtId="0" fontId="0" fillId="9" borderId="1" xfId="0" applyFill="1" applyBorder="1"/>
    <xf numFmtId="49" fontId="0" fillId="0" borderId="2" xfId="0" applyNumberFormat="1" applyBorder="1"/>
    <xf numFmtId="0" fontId="0" fillId="4" borderId="2" xfId="0" applyFill="1" applyBorder="1"/>
    <xf numFmtId="0" fontId="0" fillId="2" borderId="1" xfId="0" applyFill="1" applyBorder="1"/>
    <xf numFmtId="0" fontId="1" fillId="0" borderId="10" xfId="0" applyFont="1" applyFill="1" applyBorder="1"/>
    <xf numFmtId="0" fontId="14" fillId="0" borderId="0" xfId="0" applyFont="1" applyBorder="1"/>
    <xf numFmtId="0" fontId="0" fillId="0" borderId="0" xfId="0" applyFont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0" fontId="0" fillId="0" borderId="4" xfId="0" applyBorder="1"/>
    <xf numFmtId="49" fontId="19" fillId="0" borderId="0" xfId="0" applyNumberFormat="1" applyFont="1" applyBorder="1"/>
    <xf numFmtId="49" fontId="19" fillId="0" borderId="0" xfId="0" applyNumberFormat="1" applyFont="1" applyBorder="1"/>
    <xf numFmtId="49" fontId="19" fillId="0" borderId="0" xfId="0" applyNumberFormat="1" applyFont="1" applyBorder="1"/>
    <xf numFmtId="49" fontId="19" fillId="0" borderId="0" xfId="0" applyNumberFormat="1" applyFont="1" applyBorder="1"/>
    <xf numFmtId="49" fontId="0" fillId="11" borderId="1" xfId="0" applyNumberFormat="1" applyFont="1" applyFill="1" applyBorder="1" applyAlignment="1" applyProtection="1">
      <alignment wrapText="1"/>
      <protection locked="0"/>
    </xf>
    <xf numFmtId="49" fontId="16" fillId="0" borderId="1" xfId="1" applyNumberFormat="1" applyBorder="1" applyAlignment="1" applyProtection="1">
      <alignment wrapText="1"/>
      <protection locked="0"/>
    </xf>
    <xf numFmtId="0" fontId="1" fillId="0" borderId="0" xfId="0" applyFont="1" applyAlignment="1">
      <alignment horizontal="center"/>
    </xf>
    <xf numFmtId="0" fontId="10" fillId="0" borderId="1" xfId="0" applyFont="1" applyBorder="1" applyAlignment="1">
      <alignment wrapText="1"/>
    </xf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7" fillId="3" borderId="5" xfId="1" applyFont="1" applyFill="1" applyBorder="1" applyAlignment="1">
      <alignment horizontal="center"/>
    </xf>
    <xf numFmtId="0" fontId="17" fillId="3" borderId="6" xfId="1" applyFont="1" applyFill="1" applyBorder="1" applyAlignment="1">
      <alignment horizontal="center"/>
    </xf>
    <xf numFmtId="0" fontId="17" fillId="3" borderId="7" xfId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49" fontId="0" fillId="0" borderId="2" xfId="0" applyNumberFormat="1" applyBorder="1" applyAlignment="1" applyProtection="1">
      <alignment horizontal="left"/>
      <protection locked="0"/>
    </xf>
    <xf numFmtId="0" fontId="21" fillId="3" borderId="5" xfId="1" applyFont="1" applyFill="1" applyBorder="1" applyAlignment="1">
      <alignment horizontal="center"/>
    </xf>
    <xf numFmtId="0" fontId="21" fillId="3" borderId="6" xfId="1" applyFont="1" applyFill="1" applyBorder="1" applyAlignment="1">
      <alignment horizontal="center"/>
    </xf>
    <xf numFmtId="0" fontId="21" fillId="3" borderId="7" xfId="1" applyFont="1" applyFill="1" applyBorder="1" applyAlignment="1">
      <alignment horizontal="center"/>
    </xf>
    <xf numFmtId="0" fontId="21" fillId="3" borderId="12" xfId="1" applyFont="1" applyFill="1" applyBorder="1" applyAlignment="1">
      <alignment horizontal="center"/>
    </xf>
    <xf numFmtId="0" fontId="21" fillId="3" borderId="13" xfId="1" applyFont="1" applyFill="1" applyBorder="1" applyAlignment="1">
      <alignment horizontal="center"/>
    </xf>
    <xf numFmtId="49" fontId="0" fillId="0" borderId="1" xfId="0" applyNumberFormat="1" applyBorder="1" applyAlignment="1">
      <alignment wrapText="1"/>
    </xf>
    <xf numFmtId="0" fontId="2" fillId="5" borderId="1" xfId="0" applyFont="1" applyFill="1" applyBorder="1" applyAlignment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12" borderId="1" xfId="0" applyFill="1" applyBorder="1"/>
    <xf numFmtId="0" fontId="21" fillId="3" borderId="14" xfId="1" applyFont="1" applyFill="1" applyBorder="1" applyAlignment="1">
      <alignment horizontal="center"/>
    </xf>
    <xf numFmtId="0" fontId="0" fillId="0" borderId="15" xfId="0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MSP Tool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38100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Random  Generate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CFFCC"/>
  </sheetPr>
  <dimension ref="A210:B210"/>
  <sheetViews>
    <sheetView workbookViewId="0"/>
  </sheetViews>
  <sheetFormatPr defaultRowHeight="15" x14ac:dyDescent="0.25"/>
  <cols>
    <col min="2" max="2" width="10" bestFit="1" customWidth="1"/>
  </cols>
  <sheetData>
    <row r="210" spans="1:2" x14ac:dyDescent="0.25">
      <c r="A210" s="50" t="s">
        <v>233</v>
      </c>
      <c r="B210" s="50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83" t="s">
        <v>365</v>
      </c>
      <c r="G2" s="84"/>
      <c r="H2" s="84"/>
      <c r="I2" s="84"/>
      <c r="J2" s="84"/>
      <c r="K2" s="84"/>
      <c r="L2" s="84"/>
      <c r="M2" s="84"/>
      <c r="N2" s="85"/>
    </row>
    <row r="3" spans="2:20" ht="16.5" thickTop="1" x14ac:dyDescent="0.25">
      <c r="B3" s="64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2:20" ht="15.75" thickBot="1" x14ac:dyDescent="0.3"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49"/>
      <c r="Q4" s="49"/>
      <c r="R4" s="49"/>
      <c r="S4" s="49"/>
      <c r="T4" s="49"/>
    </row>
    <row r="5" spans="2:20" ht="24.75" thickTop="1" thickBot="1" x14ac:dyDescent="0.4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86" t="s">
        <v>366</v>
      </c>
      <c r="R5" s="87"/>
      <c r="S5" s="88"/>
      <c r="T5" s="49"/>
    </row>
    <row r="6" spans="2:20" ht="16.5" thickTop="1" x14ac:dyDescent="0.25">
      <c r="B6" s="64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2:20" x14ac:dyDescent="0.25"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49"/>
      <c r="T7" s="49"/>
    </row>
    <row r="8" spans="2:20" x14ac:dyDescent="0.25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</row>
    <row r="9" spans="2:20" ht="15.75" x14ac:dyDescent="0.25">
      <c r="B9" s="64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</row>
    <row r="10" spans="2:20" x14ac:dyDescent="0.25"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49"/>
      <c r="T10" s="49"/>
    </row>
    <row r="11" spans="2:20" x14ac:dyDescent="0.25"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2:20" ht="15.75" x14ac:dyDescent="0.25">
      <c r="B12" s="64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2:20" x14ac:dyDescent="0.25"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</row>
    <row r="14" spans="2:20" x14ac:dyDescent="0.25"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</row>
    <row r="15" spans="2:20" x14ac:dyDescent="0.25"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</row>
    <row r="16" spans="2:20" x14ac:dyDescent="0.25"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</row>
    <row r="17" spans="2:20" x14ac:dyDescent="0.25"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</row>
    <row r="18" spans="2:20" ht="15.75" x14ac:dyDescent="0.25">
      <c r="B18" s="64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</row>
    <row r="19" spans="2:20" x14ac:dyDescent="0.25">
      <c r="B19" s="80"/>
      <c r="C19" s="80"/>
      <c r="D19" s="80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</row>
    <row r="20" spans="2:20" x14ac:dyDescent="0.25"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49"/>
    </row>
    <row r="21" spans="2:20" x14ac:dyDescent="0.25"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</row>
    <row r="22" spans="2:20" x14ac:dyDescent="0.25"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</row>
    <row r="23" spans="2:20" x14ac:dyDescent="0.25"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49"/>
    </row>
    <row r="24" spans="2:20" x14ac:dyDescent="0.25"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49"/>
    </row>
    <row r="25" spans="2:20" x14ac:dyDescent="0.25"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</row>
    <row r="26" spans="2:20" x14ac:dyDescent="0.25"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</row>
    <row r="27" spans="2:20" x14ac:dyDescent="0.25"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49"/>
    </row>
    <row r="28" spans="2:20" x14ac:dyDescent="0.25"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49"/>
    </row>
    <row r="29" spans="2:20" ht="15" customHeight="1" x14ac:dyDescent="0.25"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49"/>
    </row>
    <row r="30" spans="2:20" x14ac:dyDescent="0.25"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49"/>
    </row>
    <row r="31" spans="2:20" x14ac:dyDescent="0.25"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49"/>
    </row>
    <row r="32" spans="2:20" x14ac:dyDescent="0.25"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49"/>
    </row>
    <row r="33" spans="2:20" x14ac:dyDescent="0.25"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</row>
    <row r="34" spans="2:20" x14ac:dyDescent="0.25"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49"/>
    </row>
    <row r="35" spans="2:20" ht="15" customHeight="1" x14ac:dyDescent="0.25"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</row>
    <row r="36" spans="2:20" ht="15" customHeight="1" x14ac:dyDescent="0.25"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49"/>
    </row>
    <row r="37" spans="2:20" x14ac:dyDescent="0.25"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49"/>
    </row>
    <row r="38" spans="2:20" x14ac:dyDescent="0.25"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49"/>
    </row>
    <row r="39" spans="2:20" x14ac:dyDescent="0.25"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49"/>
    </row>
    <row r="40" spans="2:20" x14ac:dyDescent="0.25"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</row>
    <row r="41" spans="2:20" x14ac:dyDescent="0.25">
      <c r="B41" s="80"/>
      <c r="C41" s="80"/>
      <c r="D41" s="80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</row>
    <row r="42" spans="2:20" x14ac:dyDescent="0.25"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49"/>
    </row>
    <row r="43" spans="2:20" x14ac:dyDescent="0.25"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</row>
    <row r="44" spans="2:20" x14ac:dyDescent="0.25"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</row>
    <row r="45" spans="2:20" x14ac:dyDescent="0.25"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49"/>
    </row>
    <row r="46" spans="2:20" x14ac:dyDescent="0.25"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49"/>
    </row>
    <row r="47" spans="2:20" x14ac:dyDescent="0.25"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</row>
    <row r="48" spans="2:20" x14ac:dyDescent="0.25"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49"/>
    </row>
    <row r="49" spans="2:20" x14ac:dyDescent="0.25"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49"/>
    </row>
    <row r="50" spans="2:20" x14ac:dyDescent="0.25"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</row>
    <row r="51" spans="2:20" x14ac:dyDescent="0.25"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</row>
    <row r="52" spans="2:20" x14ac:dyDescent="0.25"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49"/>
    </row>
    <row r="53" spans="2:20" x14ac:dyDescent="0.25"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49"/>
    </row>
    <row r="54" spans="2:20" x14ac:dyDescent="0.25"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49"/>
    </row>
    <row r="55" spans="2:20" x14ac:dyDescent="0.25"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49"/>
    </row>
    <row r="56" spans="2:20" x14ac:dyDescent="0.25"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49"/>
    </row>
    <row r="57" spans="2:20" x14ac:dyDescent="0.25"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49"/>
    </row>
    <row r="58" spans="2:20" x14ac:dyDescent="0.25"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</row>
    <row r="59" spans="2:20" x14ac:dyDescent="0.25">
      <c r="B59" s="80"/>
      <c r="C59" s="80"/>
      <c r="D59" s="80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</row>
    <row r="60" spans="2:20" x14ac:dyDescent="0.25"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49"/>
    </row>
    <row r="61" spans="2:20" x14ac:dyDescent="0.25"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</row>
    <row r="62" spans="2:20" x14ac:dyDescent="0.25"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</row>
    <row r="63" spans="2:20" x14ac:dyDescent="0.25"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49"/>
    </row>
    <row r="64" spans="2:20" x14ac:dyDescent="0.25"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49"/>
    </row>
    <row r="65" spans="2:20" x14ac:dyDescent="0.25"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</row>
    <row r="66" spans="2:20" x14ac:dyDescent="0.25"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</row>
    <row r="67" spans="2:20" x14ac:dyDescent="0.25"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</row>
    <row r="68" spans="2:20" x14ac:dyDescent="0.25"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</row>
    <row r="69" spans="2:20" x14ac:dyDescent="0.25"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49"/>
    </row>
    <row r="70" spans="2:20" x14ac:dyDescent="0.25"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49"/>
    </row>
    <row r="71" spans="2:20" ht="15" customHeight="1" x14ac:dyDescent="0.25"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49"/>
    </row>
    <row r="72" spans="2:20" x14ac:dyDescent="0.25"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49"/>
    </row>
    <row r="73" spans="2:20" x14ac:dyDescent="0.25"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49"/>
    </row>
    <row r="74" spans="2:20" x14ac:dyDescent="0.25"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49"/>
    </row>
    <row r="75" spans="2:20" x14ac:dyDescent="0.25"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</row>
    <row r="76" spans="2:20" x14ac:dyDescent="0.25"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49"/>
    </row>
    <row r="77" spans="2:20" ht="15" customHeight="1" x14ac:dyDescent="0.25"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</row>
    <row r="78" spans="2:20" ht="15" customHeight="1" x14ac:dyDescent="0.25"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49"/>
    </row>
    <row r="79" spans="2:20" x14ac:dyDescent="0.25"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49"/>
    </row>
    <row r="80" spans="2:20" x14ac:dyDescent="0.25"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49"/>
    </row>
    <row r="81" spans="2:20" x14ac:dyDescent="0.25"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49"/>
    </row>
    <row r="82" spans="2:20" x14ac:dyDescent="0.25"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49"/>
    </row>
    <row r="83" spans="2:20" x14ac:dyDescent="0.25"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</row>
    <row r="84" spans="2:20" x14ac:dyDescent="0.25"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</row>
    <row r="85" spans="2:20" x14ac:dyDescent="0.25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2:20" x14ac:dyDescent="0.25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</row>
    <row r="87" spans="2:20" x14ac:dyDescent="0.25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</row>
    <row r="88" spans="2:20" x14ac:dyDescent="0.25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</row>
    <row r="89" spans="2:20" x14ac:dyDescent="0.25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</row>
    <row r="90" spans="2:20" x14ac:dyDescent="0.25"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</row>
    <row r="91" spans="2:20" x14ac:dyDescent="0.25"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</row>
    <row r="92" spans="2:20" x14ac:dyDescent="0.25"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</row>
    <row r="93" spans="2:20" x14ac:dyDescent="0.25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</row>
    <row r="94" spans="2:20" x14ac:dyDescent="0.25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</row>
    <row r="95" spans="2:20" x14ac:dyDescent="0.25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</row>
    <row r="96" spans="2:20" x14ac:dyDescent="0.25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</row>
    <row r="97" spans="2:20" x14ac:dyDescent="0.25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</row>
    <row r="98" spans="2:20" x14ac:dyDescent="0.25"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</row>
    <row r="99" spans="2:20" x14ac:dyDescent="0.25"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</row>
    <row r="100" spans="2:20" x14ac:dyDescent="0.25"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</row>
    <row r="101" spans="2:20" x14ac:dyDescent="0.25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</row>
    <row r="102" spans="2:20" x14ac:dyDescent="0.25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</row>
    <row r="103" spans="2:20" x14ac:dyDescent="0.25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</row>
    <row r="104" spans="2:20" x14ac:dyDescent="0.25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</row>
    <row r="105" spans="2:20" x14ac:dyDescent="0.25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</row>
    <row r="106" spans="2:20" x14ac:dyDescent="0.25"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</row>
    <row r="107" spans="2:20" x14ac:dyDescent="0.25"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</row>
    <row r="108" spans="2:20" x14ac:dyDescent="0.25"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</row>
    <row r="109" spans="2:20" x14ac:dyDescent="0.25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</row>
    <row r="110" spans="2:20" x14ac:dyDescent="0.25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</row>
    <row r="111" spans="2:20" x14ac:dyDescent="0.25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</row>
    <row r="112" spans="2:20" x14ac:dyDescent="0.25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</row>
    <row r="113" spans="2:20" x14ac:dyDescent="0.25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</row>
    <row r="114" spans="2:20" x14ac:dyDescent="0.25"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</row>
    <row r="115" spans="2:20" x14ac:dyDescent="0.25"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</row>
    <row r="116" spans="2:20" x14ac:dyDescent="0.25"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</row>
    <row r="117" spans="2:20" x14ac:dyDescent="0.25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</row>
    <row r="118" spans="2:20" x14ac:dyDescent="0.25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</row>
    <row r="119" spans="2:20" x14ac:dyDescent="0.25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</row>
    <row r="120" spans="2:20" x14ac:dyDescent="0.25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</row>
    <row r="121" spans="2:20" x14ac:dyDescent="0.25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</row>
    <row r="122" spans="2:20" x14ac:dyDescent="0.25"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</row>
    <row r="123" spans="2:20" x14ac:dyDescent="0.25"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</row>
    <row r="124" spans="2:20" x14ac:dyDescent="0.25"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</row>
    <row r="125" spans="2:20" x14ac:dyDescent="0.25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</row>
    <row r="126" spans="2:20" x14ac:dyDescent="0.25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</row>
    <row r="127" spans="2:20" x14ac:dyDescent="0.25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</row>
    <row r="128" spans="2:20" x14ac:dyDescent="0.25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</row>
    <row r="129" spans="2:20" x14ac:dyDescent="0.25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</row>
    <row r="130" spans="2:20" x14ac:dyDescent="0.25"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</row>
    <row r="131" spans="2:20" x14ac:dyDescent="0.25"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</row>
    <row r="132" spans="2:20" x14ac:dyDescent="0.25"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</row>
    <row r="133" spans="2:20" x14ac:dyDescent="0.25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</row>
    <row r="134" spans="2:20" x14ac:dyDescent="0.25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</row>
  </sheetData>
  <mergeCells count="71">
    <mergeCell ref="B39:S39"/>
    <mergeCell ref="B37:S37"/>
    <mergeCell ref="B38:S38"/>
    <mergeCell ref="B33:T33"/>
    <mergeCell ref="B34:S34"/>
    <mergeCell ref="B35:T35"/>
    <mergeCell ref="B36:S36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B80:S80"/>
    <mergeCell ref="B62:T62"/>
    <mergeCell ref="B63:S63"/>
    <mergeCell ref="B64:S64"/>
    <mergeCell ref="B65:T65"/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</mergeCells>
  <hyperlinks>
    <hyperlink ref="Q5" location="Instructions!A1" display="Instructions"/>
    <hyperlink ref="Q5:S5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workbookViewId="0">
      <selection activeCell="H14" sqref="H14"/>
    </sheetView>
  </sheetViews>
  <sheetFormatPr defaultRowHeight="15" x14ac:dyDescent="0.25"/>
  <cols>
    <col min="13" max="13" width="11.42578125" bestFit="1" customWidth="1"/>
  </cols>
  <sheetData>
    <row r="4" spans="10:16" x14ac:dyDescent="0.25">
      <c r="J4" s="18"/>
    </row>
    <row r="15" spans="10:16" ht="15.75" thickBot="1" x14ac:dyDescent="0.3"/>
    <row r="16" spans="10:16" ht="24.75" thickTop="1" thickBot="1" x14ac:dyDescent="0.4">
      <c r="M16" s="91" t="s">
        <v>531</v>
      </c>
      <c r="N16" s="92"/>
      <c r="O16" s="92"/>
      <c r="P16" s="93"/>
    </row>
    <row r="17" spans="7:16" ht="15.75" thickTop="1" x14ac:dyDescent="0.25"/>
    <row r="18" spans="7:16" ht="15.75" thickBot="1" x14ac:dyDescent="0.3"/>
    <row r="19" spans="7:16" ht="24.75" thickTop="1" thickBot="1" x14ac:dyDescent="0.4">
      <c r="M19" s="91" t="s">
        <v>533</v>
      </c>
      <c r="N19" s="92"/>
      <c r="O19" s="92"/>
      <c r="P19" s="93"/>
    </row>
    <row r="20" spans="7:16" ht="15.75" thickTop="1" x14ac:dyDescent="0.25">
      <c r="G20" t="s">
        <v>112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MSP TOOL SETTINGS"/>
    <hyperlink ref="M16" location="Instructions!A1" display="Instructions"/>
    <hyperlink ref="M16:P16" location="TestData!A1" display="MSP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48"/>
  <sheetViews>
    <sheetView zoomScaleNormal="100" workbookViewId="0">
      <selection activeCell="H5" sqref="H5"/>
    </sheetView>
  </sheetViews>
  <sheetFormatPr defaultRowHeight="15" x14ac:dyDescent="0.25"/>
  <cols>
    <col min="1" max="1" width="5.7109375" customWidth="1"/>
    <col min="2" max="2" width="25" bestFit="1" customWidth="1"/>
    <col min="3" max="3" width="48" customWidth="1"/>
    <col min="4" max="4" width="25.5703125" customWidth="1"/>
    <col min="5" max="5" width="16.85546875" customWidth="1"/>
    <col min="18" max="18" width="19.42578125" bestFit="1" customWidth="1"/>
    <col min="19" max="19" width="7" bestFit="1" customWidth="1"/>
    <col min="20" max="20" width="6.85546875" bestFit="1" customWidth="1"/>
    <col min="21" max="21" width="10.5703125" bestFit="1" customWidth="1"/>
    <col min="22" max="22" width="11" bestFit="1" customWidth="1"/>
    <col min="23" max="23" width="11.5703125" bestFit="1" customWidth="1"/>
    <col min="24" max="24" width="6.42578125" bestFit="1" customWidth="1"/>
    <col min="25" max="25" width="8.140625" bestFit="1" customWidth="1"/>
    <col min="26" max="26" width="16" bestFit="1" customWidth="1"/>
    <col min="27" max="27" width="11.7109375" bestFit="1" customWidth="1"/>
    <col min="28" max="28" width="6.42578125" bestFit="1" customWidth="1"/>
    <col min="29" max="29" width="7" bestFit="1" customWidth="1"/>
    <col min="30" max="30" width="8.140625" bestFit="1" customWidth="1"/>
    <col min="31" max="31" width="9" bestFit="1" customWidth="1"/>
    <col min="32" max="32" width="5.140625" bestFit="1" customWidth="1"/>
    <col min="33" max="33" width="9.85546875" bestFit="1" customWidth="1"/>
  </cols>
  <sheetData>
    <row r="1" spans="1:33" ht="15.75" thickBot="1" x14ac:dyDescent="0.3">
      <c r="A1" s="56" t="s">
        <v>374</v>
      </c>
      <c r="B1" s="56" t="s">
        <v>368</v>
      </c>
      <c r="C1" s="57" t="s">
        <v>369</v>
      </c>
      <c r="D1" s="57" t="s">
        <v>370</v>
      </c>
      <c r="E1" s="57" t="s">
        <v>371</v>
      </c>
      <c r="F1" s="63" t="s">
        <v>387</v>
      </c>
      <c r="R1" s="66" t="s">
        <v>7</v>
      </c>
      <c r="S1" s="67" t="s">
        <v>359</v>
      </c>
      <c r="T1" s="67" t="s">
        <v>397</v>
      </c>
      <c r="U1" s="67" t="s">
        <v>399</v>
      </c>
      <c r="V1" s="67" t="s">
        <v>393</v>
      </c>
      <c r="W1" s="67" t="s">
        <v>403</v>
      </c>
      <c r="X1" s="67" t="s">
        <v>415</v>
      </c>
      <c r="Y1" s="67" t="s">
        <v>416</v>
      </c>
      <c r="Z1" s="67" t="s">
        <v>405</v>
      </c>
      <c r="AA1" s="67" t="s">
        <v>417</v>
      </c>
      <c r="AB1" s="67" t="s">
        <v>418</v>
      </c>
      <c r="AC1" s="67" t="s">
        <v>390</v>
      </c>
      <c r="AD1" s="67" t="s">
        <v>398</v>
      </c>
      <c r="AE1" s="50" t="s">
        <v>406</v>
      </c>
      <c r="AF1" s="50" t="s">
        <v>395</v>
      </c>
      <c r="AG1" s="50" t="s">
        <v>392</v>
      </c>
    </row>
    <row r="2" spans="1:33" ht="15.75" thickBot="1" x14ac:dyDescent="0.3">
      <c r="A2" s="60" t="s">
        <v>26</v>
      </c>
      <c r="B2" s="55" t="s">
        <v>375</v>
      </c>
      <c r="C2" s="3" t="s">
        <v>372</v>
      </c>
      <c r="D2" s="60" t="s">
        <v>556</v>
      </c>
      <c r="E2" s="58"/>
      <c r="F2" s="29">
        <v>2</v>
      </c>
      <c r="R2" s="60" t="s">
        <v>359</v>
      </c>
      <c r="S2" s="70" t="s">
        <v>401</v>
      </c>
      <c r="T2" s="70" t="s">
        <v>391</v>
      </c>
      <c r="U2" s="70" t="s">
        <v>396</v>
      </c>
      <c r="V2" s="70" t="s">
        <v>381</v>
      </c>
      <c r="W2" s="70" t="s">
        <v>402</v>
      </c>
      <c r="X2" s="70" t="s">
        <v>415</v>
      </c>
      <c r="Y2" s="70" t="s">
        <v>419</v>
      </c>
      <c r="Z2" s="70" t="s">
        <v>394</v>
      </c>
      <c r="AA2" s="70" t="s">
        <v>420</v>
      </c>
      <c r="AB2" s="70" t="s">
        <v>414</v>
      </c>
      <c r="AC2" s="70" t="s">
        <v>389</v>
      </c>
      <c r="AD2" s="71" t="s">
        <v>310</v>
      </c>
      <c r="AE2" s="72" t="s">
        <v>409</v>
      </c>
      <c r="AF2" s="70" t="s">
        <v>395</v>
      </c>
      <c r="AG2" s="73" t="s">
        <v>315</v>
      </c>
    </row>
    <row r="3" spans="1:33" ht="24.75" thickTop="1" thickBot="1" x14ac:dyDescent="0.4">
      <c r="A3" s="60" t="s">
        <v>360</v>
      </c>
      <c r="B3" s="29" t="s">
        <v>376</v>
      </c>
      <c r="C3" s="2" t="s">
        <v>373</v>
      </c>
      <c r="D3" s="26" t="s">
        <v>555</v>
      </c>
      <c r="E3" s="59"/>
      <c r="F3" s="29">
        <v>2</v>
      </c>
      <c r="J3" s="91" t="s">
        <v>532</v>
      </c>
      <c r="K3" s="92"/>
      <c r="L3" s="93"/>
      <c r="R3" s="68" t="s">
        <v>397</v>
      </c>
      <c r="S3" s="70"/>
      <c r="T3" s="70"/>
      <c r="U3" s="70"/>
      <c r="V3" s="70"/>
      <c r="W3" s="70" t="s">
        <v>404</v>
      </c>
      <c r="X3" s="70"/>
      <c r="Y3" s="70"/>
      <c r="Z3" s="70"/>
      <c r="AA3" s="70" t="s">
        <v>421</v>
      </c>
      <c r="AB3" s="70"/>
      <c r="AC3" s="70"/>
      <c r="AD3" s="71" t="s">
        <v>388</v>
      </c>
      <c r="AE3" s="72" t="s">
        <v>379</v>
      </c>
      <c r="AF3" s="70"/>
      <c r="AG3" s="73" t="s">
        <v>386</v>
      </c>
    </row>
    <row r="4" spans="1:33" ht="15.75" thickTop="1" x14ac:dyDescent="0.25">
      <c r="A4" s="60" t="s">
        <v>361</v>
      </c>
      <c r="B4" s="55" t="s">
        <v>377</v>
      </c>
      <c r="C4" s="3" t="s">
        <v>372</v>
      </c>
      <c r="D4" s="60">
        <v>9</v>
      </c>
      <c r="E4" s="61"/>
      <c r="F4" s="29">
        <v>1</v>
      </c>
      <c r="R4" s="68" t="s">
        <v>399</v>
      </c>
      <c r="S4" s="70"/>
      <c r="T4" s="70"/>
      <c r="U4" s="70"/>
      <c r="V4" s="70"/>
      <c r="W4" s="70"/>
      <c r="X4" s="70"/>
      <c r="Y4" s="70"/>
      <c r="Z4" s="70"/>
      <c r="AA4" s="70" t="s">
        <v>422</v>
      </c>
      <c r="AB4" s="70"/>
      <c r="AC4" s="70"/>
      <c r="AD4" s="71" t="s">
        <v>400</v>
      </c>
      <c r="AE4" s="72" t="s">
        <v>380</v>
      </c>
      <c r="AF4" s="70"/>
      <c r="AG4" s="73" t="s">
        <v>385</v>
      </c>
    </row>
    <row r="5" spans="1:33" x14ac:dyDescent="0.25">
      <c r="A5" s="60" t="s">
        <v>362</v>
      </c>
      <c r="B5" s="29" t="s">
        <v>378</v>
      </c>
      <c r="C5" s="2" t="s">
        <v>373</v>
      </c>
      <c r="D5" s="60">
        <v>66</v>
      </c>
      <c r="E5" s="62"/>
      <c r="F5" s="29">
        <v>2</v>
      </c>
      <c r="R5" s="68" t="s">
        <v>393</v>
      </c>
      <c r="S5" s="70"/>
      <c r="T5" s="70"/>
      <c r="U5" s="70"/>
      <c r="V5" s="70"/>
      <c r="W5" s="70"/>
      <c r="X5" s="70"/>
      <c r="Y5" s="70"/>
      <c r="Z5" s="70"/>
      <c r="AA5" s="70" t="s">
        <v>423</v>
      </c>
      <c r="AB5" s="70"/>
      <c r="AC5" s="70"/>
      <c r="AD5" s="70"/>
      <c r="AE5" s="72" t="s">
        <v>388</v>
      </c>
      <c r="AF5" s="70"/>
      <c r="AG5" s="73" t="s">
        <v>384</v>
      </c>
    </row>
    <row r="6" spans="1:33" ht="30" x14ac:dyDescent="0.25">
      <c r="A6" s="68" t="s">
        <v>363</v>
      </c>
      <c r="B6" s="98" t="s">
        <v>544</v>
      </c>
      <c r="C6" s="99" t="s">
        <v>545</v>
      </c>
      <c r="D6" s="68" t="s">
        <v>542</v>
      </c>
      <c r="E6" s="97"/>
      <c r="F6" s="29"/>
      <c r="R6" s="68" t="s">
        <v>405</v>
      </c>
      <c r="S6" s="70"/>
      <c r="T6" s="70"/>
      <c r="U6" s="70"/>
      <c r="V6" s="70"/>
      <c r="W6" s="70"/>
      <c r="X6" s="70"/>
      <c r="Y6" s="70"/>
      <c r="Z6" s="70"/>
      <c r="AA6" s="70" t="s">
        <v>424</v>
      </c>
      <c r="AB6" s="70"/>
      <c r="AC6" s="70"/>
      <c r="AD6" s="70"/>
      <c r="AE6" s="72" t="s">
        <v>411</v>
      </c>
      <c r="AF6" s="70"/>
      <c r="AG6" s="73" t="s">
        <v>383</v>
      </c>
    </row>
    <row r="7" spans="1:33" ht="30" x14ac:dyDescent="0.25">
      <c r="A7" s="68" t="s">
        <v>364</v>
      </c>
      <c r="B7" s="98" t="s">
        <v>543</v>
      </c>
      <c r="C7" s="99" t="s">
        <v>546</v>
      </c>
      <c r="D7" s="68" t="s">
        <v>542</v>
      </c>
      <c r="E7" s="100"/>
      <c r="F7" s="29"/>
      <c r="R7" s="68" t="s">
        <v>417</v>
      </c>
      <c r="S7" s="70"/>
      <c r="T7" s="70"/>
      <c r="U7" s="70"/>
      <c r="V7" s="70"/>
      <c r="W7" s="70"/>
      <c r="X7" s="70"/>
      <c r="Y7" s="70"/>
      <c r="Z7" s="70"/>
      <c r="AA7" s="70" t="s">
        <v>425</v>
      </c>
      <c r="AB7" s="70"/>
      <c r="AC7" s="70"/>
      <c r="AD7" s="70"/>
      <c r="AE7" s="72" t="s">
        <v>412</v>
      </c>
      <c r="AF7" s="70"/>
      <c r="AG7" s="73" t="s">
        <v>382</v>
      </c>
    </row>
    <row r="8" spans="1:33" x14ac:dyDescent="0.25">
      <c r="R8" s="68" t="s">
        <v>418</v>
      </c>
      <c r="S8" s="70"/>
      <c r="T8" s="70"/>
      <c r="U8" s="70"/>
      <c r="V8" s="70"/>
      <c r="W8" s="70"/>
      <c r="X8" s="70"/>
      <c r="Y8" s="70"/>
      <c r="Z8" s="70"/>
      <c r="AA8" s="70" t="s">
        <v>426</v>
      </c>
      <c r="AB8" s="70"/>
      <c r="AC8" s="70"/>
      <c r="AD8" s="70"/>
      <c r="AE8" s="72" t="s">
        <v>410</v>
      </c>
      <c r="AF8" s="70"/>
      <c r="AG8" s="70"/>
    </row>
    <row r="9" spans="1:33" x14ac:dyDescent="0.25">
      <c r="R9" s="68" t="s">
        <v>390</v>
      </c>
      <c r="S9" s="70"/>
      <c r="T9" s="70"/>
      <c r="U9" s="70"/>
      <c r="V9" s="70"/>
      <c r="W9" s="70"/>
      <c r="X9" s="70"/>
      <c r="Y9" s="70"/>
      <c r="Z9" s="70"/>
      <c r="AA9" s="70" t="s">
        <v>427</v>
      </c>
      <c r="AB9" s="70"/>
      <c r="AC9" s="70"/>
      <c r="AD9" s="70"/>
      <c r="AE9" s="72" t="s">
        <v>407</v>
      </c>
      <c r="AF9" s="70"/>
      <c r="AG9" s="70"/>
    </row>
    <row r="10" spans="1:33" x14ac:dyDescent="0.25">
      <c r="R10" s="68" t="s">
        <v>398</v>
      </c>
      <c r="S10" s="70"/>
      <c r="T10" s="70"/>
      <c r="U10" s="70"/>
      <c r="V10" s="70"/>
      <c r="W10" s="70"/>
      <c r="X10" s="70"/>
      <c r="Y10" s="70"/>
      <c r="Z10" s="70"/>
      <c r="AA10" s="70" t="s">
        <v>428</v>
      </c>
      <c r="AB10" s="70"/>
      <c r="AC10" s="70"/>
      <c r="AD10" s="70"/>
      <c r="AE10" s="72" t="s">
        <v>408</v>
      </c>
      <c r="AF10" s="70"/>
      <c r="AG10" s="70"/>
    </row>
    <row r="11" spans="1:33" x14ac:dyDescent="0.25">
      <c r="R11" s="29" t="s">
        <v>406</v>
      </c>
      <c r="S11" s="70"/>
      <c r="T11" s="70"/>
      <c r="U11" s="70"/>
      <c r="V11" s="70"/>
      <c r="W11" s="70"/>
      <c r="X11" s="70"/>
      <c r="Y11" s="70"/>
      <c r="Z11" s="70"/>
      <c r="AA11" s="70" t="s">
        <v>429</v>
      </c>
      <c r="AB11" s="70"/>
      <c r="AC11" s="70"/>
      <c r="AD11" s="70"/>
      <c r="AE11" s="72" t="s">
        <v>413</v>
      </c>
      <c r="AF11" s="70"/>
      <c r="AG11" s="70"/>
    </row>
    <row r="12" spans="1:33" x14ac:dyDescent="0.25">
      <c r="R12" s="29" t="s">
        <v>395</v>
      </c>
      <c r="S12" s="70"/>
      <c r="T12" s="70"/>
      <c r="U12" s="70"/>
      <c r="V12" s="70"/>
      <c r="W12" s="70"/>
      <c r="X12" s="70"/>
      <c r="Y12" s="70"/>
      <c r="Z12" s="70"/>
      <c r="AA12" s="70" t="s">
        <v>430</v>
      </c>
      <c r="AB12" s="70"/>
      <c r="AC12" s="70"/>
      <c r="AD12" s="70"/>
      <c r="AE12" s="70"/>
      <c r="AF12" s="70"/>
      <c r="AG12" s="70"/>
    </row>
    <row r="13" spans="1:33" x14ac:dyDescent="0.25">
      <c r="R13" s="69" t="s">
        <v>392</v>
      </c>
      <c r="S13" s="70"/>
      <c r="T13" s="70"/>
      <c r="U13" s="70"/>
      <c r="V13" s="70"/>
      <c r="W13" s="70"/>
      <c r="X13" s="70"/>
      <c r="Y13" s="70"/>
      <c r="Z13" s="70"/>
      <c r="AA13" s="70" t="s">
        <v>431</v>
      </c>
      <c r="AB13" s="70"/>
      <c r="AC13" s="70"/>
      <c r="AD13" s="70"/>
      <c r="AE13" s="70"/>
      <c r="AF13" s="70"/>
      <c r="AG13" s="70"/>
    </row>
    <row r="14" spans="1:33" x14ac:dyDescent="0.25">
      <c r="S14" s="70"/>
      <c r="T14" s="70"/>
      <c r="U14" s="70"/>
      <c r="V14" s="70"/>
      <c r="W14" s="70"/>
      <c r="X14" s="70"/>
      <c r="Y14" s="70"/>
      <c r="Z14" s="70"/>
      <c r="AA14" s="70" t="s">
        <v>432</v>
      </c>
      <c r="AB14" s="70"/>
      <c r="AC14" s="70"/>
      <c r="AD14" s="70"/>
      <c r="AE14" s="70"/>
      <c r="AF14" s="70"/>
      <c r="AG14" s="70"/>
    </row>
    <row r="15" spans="1:33" x14ac:dyDescent="0.25">
      <c r="S15" s="70"/>
      <c r="T15" s="70"/>
      <c r="U15" s="70"/>
      <c r="V15" s="70"/>
      <c r="W15" s="70"/>
      <c r="X15" s="70"/>
      <c r="Y15" s="70"/>
      <c r="Z15" s="70"/>
      <c r="AA15" s="70" t="s">
        <v>433</v>
      </c>
      <c r="AB15" s="70"/>
      <c r="AC15" s="70"/>
      <c r="AD15" s="70"/>
      <c r="AE15" s="70"/>
      <c r="AF15" s="70"/>
      <c r="AG15" s="70"/>
    </row>
    <row r="16" spans="1:33" x14ac:dyDescent="0.25">
      <c r="S16" s="70"/>
      <c r="T16" s="70"/>
      <c r="U16" s="70"/>
      <c r="V16" s="70"/>
      <c r="W16" s="70"/>
      <c r="X16" s="70"/>
      <c r="Y16" s="70"/>
      <c r="Z16" s="70"/>
      <c r="AA16" s="70" t="s">
        <v>434</v>
      </c>
      <c r="AB16" s="70"/>
      <c r="AC16" s="70"/>
      <c r="AD16" s="70"/>
      <c r="AE16" s="70"/>
      <c r="AF16" s="70"/>
      <c r="AG16" s="70"/>
    </row>
    <row r="17" spans="19:33" x14ac:dyDescent="0.25">
      <c r="S17" s="70"/>
      <c r="T17" s="70"/>
      <c r="U17" s="70"/>
      <c r="V17" s="70"/>
      <c r="W17" s="70"/>
      <c r="X17" s="70"/>
      <c r="Y17" s="70"/>
      <c r="Z17" s="70"/>
      <c r="AA17" s="70" t="s">
        <v>435</v>
      </c>
      <c r="AB17" s="70"/>
      <c r="AC17" s="70"/>
      <c r="AD17" s="70"/>
      <c r="AE17" s="70"/>
      <c r="AF17" s="70"/>
      <c r="AG17" s="70"/>
    </row>
    <row r="18" spans="19:33" x14ac:dyDescent="0.25">
      <c r="S18" s="70"/>
      <c r="T18" s="70"/>
      <c r="U18" s="70"/>
      <c r="V18" s="70"/>
      <c r="W18" s="70"/>
      <c r="X18" s="70"/>
      <c r="Y18" s="70"/>
      <c r="Z18" s="70"/>
      <c r="AA18" s="70" t="s">
        <v>436</v>
      </c>
      <c r="AB18" s="70"/>
      <c r="AC18" s="70"/>
      <c r="AD18" s="70"/>
      <c r="AE18" s="70"/>
      <c r="AF18" s="70"/>
      <c r="AG18" s="70"/>
    </row>
    <row r="19" spans="19:33" x14ac:dyDescent="0.25">
      <c r="S19" s="70"/>
      <c r="T19" s="70"/>
      <c r="U19" s="70"/>
      <c r="V19" s="70"/>
      <c r="W19" s="70"/>
      <c r="X19" s="70"/>
      <c r="Y19" s="70"/>
      <c r="Z19" s="70"/>
      <c r="AA19" s="70" t="s">
        <v>437</v>
      </c>
      <c r="AB19" s="70"/>
      <c r="AC19" s="70"/>
      <c r="AD19" s="70"/>
      <c r="AE19" s="70"/>
      <c r="AF19" s="70"/>
      <c r="AG19" s="70"/>
    </row>
    <row r="20" spans="19:33" x14ac:dyDescent="0.25">
      <c r="S20" s="70"/>
      <c r="T20" s="70"/>
      <c r="U20" s="70"/>
      <c r="V20" s="70"/>
      <c r="W20" s="70"/>
      <c r="X20" s="70"/>
      <c r="Y20" s="70"/>
      <c r="Z20" s="70"/>
      <c r="AA20" s="70" t="s">
        <v>438</v>
      </c>
      <c r="AB20" s="70"/>
      <c r="AC20" s="70"/>
      <c r="AD20" s="70"/>
      <c r="AE20" s="70"/>
      <c r="AF20" s="70"/>
      <c r="AG20" s="70"/>
    </row>
    <row r="21" spans="19:33" x14ac:dyDescent="0.25">
      <c r="S21" s="70"/>
      <c r="T21" s="70"/>
      <c r="U21" s="70"/>
      <c r="V21" s="70"/>
      <c r="W21" s="70"/>
      <c r="X21" s="70"/>
      <c r="Y21" s="70"/>
      <c r="Z21" s="70"/>
      <c r="AA21" s="70" t="s">
        <v>439</v>
      </c>
      <c r="AB21" s="70"/>
      <c r="AC21" s="70"/>
      <c r="AD21" s="70"/>
      <c r="AE21" s="70"/>
      <c r="AF21" s="70"/>
      <c r="AG21" s="70"/>
    </row>
    <row r="22" spans="19:33" x14ac:dyDescent="0.25">
      <c r="S22" s="70"/>
      <c r="T22" s="70"/>
      <c r="U22" s="70"/>
      <c r="V22" s="70"/>
      <c r="W22" s="70"/>
      <c r="X22" s="70"/>
      <c r="Y22" s="70"/>
      <c r="Z22" s="70"/>
      <c r="AA22" s="70" t="s">
        <v>440</v>
      </c>
      <c r="AB22" s="70"/>
      <c r="AC22" s="70"/>
      <c r="AD22" s="70"/>
      <c r="AE22" s="70"/>
      <c r="AF22" s="70"/>
      <c r="AG22" s="70"/>
    </row>
    <row r="23" spans="19:33" x14ac:dyDescent="0.25">
      <c r="S23" s="70"/>
      <c r="T23" s="70"/>
      <c r="U23" s="70"/>
      <c r="V23" s="70"/>
      <c r="W23" s="70"/>
      <c r="X23" s="70"/>
      <c r="Y23" s="70"/>
      <c r="Z23" s="70"/>
      <c r="AA23" s="70" t="s">
        <v>441</v>
      </c>
      <c r="AB23" s="70"/>
      <c r="AC23" s="70"/>
      <c r="AD23" s="70"/>
      <c r="AE23" s="70"/>
      <c r="AF23" s="70"/>
      <c r="AG23" s="70"/>
    </row>
    <row r="24" spans="19:33" x14ac:dyDescent="0.25">
      <c r="S24" s="70"/>
      <c r="T24" s="70"/>
      <c r="U24" s="70"/>
      <c r="V24" s="70"/>
      <c r="W24" s="70"/>
      <c r="X24" s="70"/>
      <c r="Y24" s="70"/>
      <c r="Z24" s="70"/>
      <c r="AA24" s="70" t="s">
        <v>442</v>
      </c>
      <c r="AB24" s="70"/>
      <c r="AC24" s="70"/>
      <c r="AD24" s="70"/>
      <c r="AE24" s="70"/>
      <c r="AF24" s="70"/>
      <c r="AG24" s="70"/>
    </row>
    <row r="25" spans="19:33" x14ac:dyDescent="0.25">
      <c r="S25" s="70"/>
      <c r="T25" s="70"/>
      <c r="U25" s="70"/>
      <c r="V25" s="70"/>
      <c r="W25" s="70"/>
      <c r="X25" s="70"/>
      <c r="Y25" s="70"/>
      <c r="Z25" s="70"/>
      <c r="AA25" s="70" t="s">
        <v>443</v>
      </c>
      <c r="AB25" s="70"/>
      <c r="AC25" s="70"/>
      <c r="AD25" s="70"/>
      <c r="AE25" s="70"/>
      <c r="AF25" s="70"/>
      <c r="AG25" s="70"/>
    </row>
    <row r="26" spans="19:33" x14ac:dyDescent="0.25">
      <c r="S26" s="70"/>
      <c r="T26" s="70"/>
      <c r="U26" s="70"/>
      <c r="V26" s="70"/>
      <c r="W26" s="70"/>
      <c r="X26" s="70"/>
      <c r="Y26" s="70"/>
      <c r="Z26" s="70"/>
      <c r="AA26" s="70" t="s">
        <v>444</v>
      </c>
      <c r="AB26" s="70"/>
      <c r="AC26" s="70"/>
      <c r="AD26" s="70"/>
      <c r="AE26" s="70"/>
      <c r="AF26" s="70"/>
      <c r="AG26" s="70"/>
    </row>
    <row r="27" spans="19:33" x14ac:dyDescent="0.25">
      <c r="S27" s="70"/>
      <c r="T27" s="70"/>
      <c r="U27" s="70"/>
      <c r="V27" s="70"/>
      <c r="W27" s="70"/>
      <c r="X27" s="70"/>
      <c r="Y27" s="70"/>
      <c r="Z27" s="70"/>
      <c r="AA27" s="70" t="s">
        <v>445</v>
      </c>
      <c r="AB27" s="70"/>
      <c r="AC27" s="70"/>
      <c r="AD27" s="70"/>
      <c r="AE27" s="70"/>
      <c r="AF27" s="70"/>
      <c r="AG27" s="70"/>
    </row>
    <row r="28" spans="19:33" x14ac:dyDescent="0.25">
      <c r="S28" s="70"/>
      <c r="T28" s="70"/>
      <c r="U28" s="70"/>
      <c r="V28" s="70"/>
      <c r="W28" s="70"/>
      <c r="X28" s="70"/>
      <c r="Y28" s="70"/>
      <c r="Z28" s="70"/>
      <c r="AA28" s="70" t="s">
        <v>446</v>
      </c>
      <c r="AB28" s="70"/>
      <c r="AC28" s="70"/>
      <c r="AD28" s="70"/>
      <c r="AE28" s="70"/>
      <c r="AF28" s="70"/>
      <c r="AG28" s="70"/>
    </row>
    <row r="29" spans="19:33" x14ac:dyDescent="0.25">
      <c r="S29" s="70"/>
      <c r="T29" s="70"/>
      <c r="U29" s="70"/>
      <c r="V29" s="70"/>
      <c r="W29" s="70"/>
      <c r="X29" s="70"/>
      <c r="Y29" s="70"/>
      <c r="Z29" s="70"/>
      <c r="AA29" s="70" t="s">
        <v>447</v>
      </c>
      <c r="AB29" s="70"/>
      <c r="AC29" s="70"/>
      <c r="AD29" s="70"/>
      <c r="AE29" s="70"/>
      <c r="AF29" s="70"/>
      <c r="AG29" s="70"/>
    </row>
    <row r="30" spans="19:33" x14ac:dyDescent="0.25">
      <c r="S30" s="70"/>
      <c r="T30" s="70"/>
      <c r="U30" s="70"/>
      <c r="V30" s="70"/>
      <c r="W30" s="70"/>
      <c r="X30" s="70"/>
      <c r="Y30" s="70"/>
      <c r="Z30" s="70"/>
      <c r="AA30" s="70" t="s">
        <v>448</v>
      </c>
      <c r="AB30" s="70"/>
      <c r="AC30" s="70"/>
      <c r="AD30" s="70"/>
      <c r="AE30" s="70"/>
      <c r="AF30" s="70"/>
      <c r="AG30" s="70"/>
    </row>
    <row r="31" spans="19:33" x14ac:dyDescent="0.25">
      <c r="S31" s="70"/>
      <c r="T31" s="70"/>
      <c r="U31" s="70"/>
      <c r="V31" s="70"/>
      <c r="W31" s="70"/>
      <c r="X31" s="70"/>
      <c r="Y31" s="70"/>
      <c r="Z31" s="70"/>
      <c r="AA31" s="70" t="s">
        <v>449</v>
      </c>
      <c r="AB31" s="70"/>
      <c r="AC31" s="70"/>
      <c r="AD31" s="70"/>
      <c r="AE31" s="70"/>
      <c r="AF31" s="70"/>
      <c r="AG31" s="70"/>
    </row>
    <row r="32" spans="19:33" x14ac:dyDescent="0.25">
      <c r="S32" s="70"/>
      <c r="T32" s="70"/>
      <c r="U32" s="70"/>
      <c r="V32" s="70"/>
      <c r="W32" s="70"/>
      <c r="X32" s="70"/>
      <c r="Y32" s="70"/>
      <c r="Z32" s="70"/>
      <c r="AA32" s="70" t="s">
        <v>450</v>
      </c>
      <c r="AB32" s="70"/>
      <c r="AC32" s="70"/>
      <c r="AD32" s="70"/>
      <c r="AE32" s="70"/>
      <c r="AF32" s="70"/>
      <c r="AG32" s="70"/>
    </row>
    <row r="33" spans="19:33" x14ac:dyDescent="0.25">
      <c r="S33" s="70"/>
      <c r="T33" s="70"/>
      <c r="U33" s="70"/>
      <c r="V33" s="70"/>
      <c r="W33" s="70"/>
      <c r="X33" s="70"/>
      <c r="Y33" s="70"/>
      <c r="Z33" s="70"/>
      <c r="AA33" s="70" t="s">
        <v>451</v>
      </c>
      <c r="AB33" s="70"/>
      <c r="AC33" s="70"/>
      <c r="AD33" s="70"/>
      <c r="AE33" s="70"/>
      <c r="AF33" s="70"/>
      <c r="AG33" s="70"/>
    </row>
    <row r="34" spans="19:33" x14ac:dyDescent="0.25">
      <c r="S34" s="70"/>
      <c r="T34" s="70"/>
      <c r="U34" s="70"/>
      <c r="V34" s="70"/>
      <c r="W34" s="70"/>
      <c r="X34" s="70"/>
      <c r="Y34" s="70"/>
      <c r="Z34" s="70"/>
      <c r="AA34" s="70" t="s">
        <v>452</v>
      </c>
      <c r="AB34" s="70"/>
      <c r="AC34" s="70"/>
      <c r="AD34" s="70"/>
      <c r="AE34" s="70"/>
      <c r="AF34" s="70"/>
      <c r="AG34" s="70"/>
    </row>
    <row r="35" spans="19:33" x14ac:dyDescent="0.25">
      <c r="S35" s="70"/>
      <c r="T35" s="70"/>
      <c r="U35" s="70"/>
      <c r="V35" s="70"/>
      <c r="W35" s="70"/>
      <c r="X35" s="70"/>
      <c r="Y35" s="70"/>
      <c r="Z35" s="70"/>
      <c r="AA35" s="70" t="s">
        <v>453</v>
      </c>
      <c r="AB35" s="70"/>
      <c r="AC35" s="70"/>
      <c r="AD35" s="70"/>
      <c r="AE35" s="70"/>
      <c r="AF35" s="70"/>
      <c r="AG35" s="70"/>
    </row>
    <row r="36" spans="19:33" x14ac:dyDescent="0.25">
      <c r="S36" s="70"/>
      <c r="T36" s="70"/>
      <c r="U36" s="70"/>
      <c r="V36" s="70"/>
      <c r="W36" s="70"/>
      <c r="X36" s="70"/>
      <c r="Y36" s="70"/>
      <c r="Z36" s="70"/>
      <c r="AA36" s="70" t="s">
        <v>454</v>
      </c>
      <c r="AB36" s="70"/>
      <c r="AC36" s="70"/>
      <c r="AD36" s="70"/>
      <c r="AE36" s="70"/>
      <c r="AF36" s="70"/>
      <c r="AG36" s="70"/>
    </row>
    <row r="37" spans="19:33" x14ac:dyDescent="0.25">
      <c r="S37" s="70"/>
      <c r="T37" s="70"/>
      <c r="U37" s="70"/>
      <c r="V37" s="70"/>
      <c r="W37" s="70"/>
      <c r="X37" s="70"/>
      <c r="Y37" s="70"/>
      <c r="Z37" s="70"/>
      <c r="AA37" s="70" t="s">
        <v>455</v>
      </c>
      <c r="AB37" s="70"/>
      <c r="AC37" s="70"/>
      <c r="AD37" s="70"/>
      <c r="AE37" s="70"/>
      <c r="AF37" s="70"/>
      <c r="AG37" s="70"/>
    </row>
    <row r="38" spans="19:33" x14ac:dyDescent="0.25">
      <c r="S38" s="70"/>
      <c r="T38" s="70"/>
      <c r="U38" s="70"/>
      <c r="V38" s="70"/>
      <c r="W38" s="70"/>
      <c r="X38" s="70"/>
      <c r="Y38" s="70"/>
      <c r="Z38" s="70"/>
      <c r="AA38" s="70" t="s">
        <v>456</v>
      </c>
      <c r="AB38" s="70"/>
      <c r="AC38" s="70"/>
      <c r="AD38" s="70"/>
      <c r="AE38" s="70"/>
      <c r="AF38" s="70"/>
      <c r="AG38" s="70"/>
    </row>
    <row r="39" spans="19:33" x14ac:dyDescent="0.25">
      <c r="S39" s="70"/>
      <c r="T39" s="70"/>
      <c r="U39" s="70"/>
      <c r="V39" s="70"/>
      <c r="W39" s="70"/>
      <c r="X39" s="70"/>
      <c r="Y39" s="70"/>
      <c r="Z39" s="70"/>
      <c r="AA39" s="70" t="s">
        <v>457</v>
      </c>
      <c r="AB39" s="70"/>
      <c r="AC39" s="70"/>
      <c r="AD39" s="70"/>
      <c r="AE39" s="70"/>
      <c r="AF39" s="70"/>
      <c r="AG39" s="70"/>
    </row>
    <row r="40" spans="19:33" x14ac:dyDescent="0.25">
      <c r="S40" s="70"/>
      <c r="T40" s="70"/>
      <c r="U40" s="70"/>
      <c r="V40" s="70"/>
      <c r="W40" s="70"/>
      <c r="X40" s="70"/>
      <c r="Y40" s="70"/>
      <c r="Z40" s="70"/>
      <c r="AA40" s="70" t="s">
        <v>458</v>
      </c>
      <c r="AB40" s="70"/>
      <c r="AC40" s="70"/>
      <c r="AD40" s="70"/>
      <c r="AE40" s="70"/>
      <c r="AF40" s="70"/>
      <c r="AG40" s="70"/>
    </row>
    <row r="41" spans="19:33" x14ac:dyDescent="0.25">
      <c r="S41" s="70"/>
      <c r="T41" s="70"/>
      <c r="U41" s="70"/>
      <c r="V41" s="70"/>
      <c r="W41" s="70"/>
      <c r="X41" s="70"/>
      <c r="Y41" s="70"/>
      <c r="Z41" s="70"/>
      <c r="AA41" s="70" t="s">
        <v>459</v>
      </c>
      <c r="AB41" s="70"/>
      <c r="AC41" s="70"/>
      <c r="AD41" s="70"/>
      <c r="AE41" s="70"/>
      <c r="AF41" s="70"/>
      <c r="AG41" s="70"/>
    </row>
    <row r="42" spans="19:33" x14ac:dyDescent="0.25">
      <c r="S42" s="70"/>
      <c r="T42" s="70"/>
      <c r="U42" s="70"/>
      <c r="V42" s="70"/>
      <c r="W42" s="70"/>
      <c r="X42" s="70"/>
      <c r="Y42" s="70"/>
      <c r="Z42" s="70"/>
      <c r="AA42" s="70" t="s">
        <v>460</v>
      </c>
      <c r="AB42" s="70"/>
      <c r="AC42" s="70"/>
      <c r="AD42" s="70"/>
      <c r="AE42" s="70"/>
      <c r="AF42" s="70"/>
      <c r="AG42" s="70"/>
    </row>
    <row r="43" spans="19:33" x14ac:dyDescent="0.25">
      <c r="S43" s="70"/>
      <c r="T43" s="70"/>
      <c r="U43" s="70"/>
      <c r="V43" s="70"/>
      <c r="W43" s="70"/>
      <c r="X43" s="70"/>
      <c r="Y43" s="70"/>
      <c r="Z43" s="70"/>
      <c r="AA43" s="70" t="s">
        <v>461</v>
      </c>
      <c r="AB43" s="70"/>
      <c r="AC43" s="70"/>
      <c r="AD43" s="70"/>
      <c r="AE43" s="70"/>
      <c r="AF43" s="70"/>
      <c r="AG43" s="70"/>
    </row>
    <row r="44" spans="19:33" x14ac:dyDescent="0.25">
      <c r="S44" s="70"/>
      <c r="T44" s="70"/>
      <c r="U44" s="70"/>
      <c r="V44" s="70"/>
      <c r="W44" s="70"/>
      <c r="X44" s="70"/>
      <c r="Y44" s="70"/>
      <c r="Z44" s="70"/>
      <c r="AA44" s="70" t="s">
        <v>462</v>
      </c>
      <c r="AB44" s="70"/>
      <c r="AC44" s="70"/>
      <c r="AD44" s="70"/>
      <c r="AE44" s="70"/>
      <c r="AF44" s="70"/>
      <c r="AG44" s="70"/>
    </row>
    <row r="45" spans="19:33" x14ac:dyDescent="0.25">
      <c r="S45" s="70"/>
      <c r="T45" s="70"/>
      <c r="U45" s="70"/>
      <c r="V45" s="70"/>
      <c r="W45" s="70"/>
      <c r="X45" s="70"/>
      <c r="Y45" s="70"/>
      <c r="Z45" s="70"/>
      <c r="AA45" s="70" t="s">
        <v>463</v>
      </c>
      <c r="AB45" s="70"/>
      <c r="AC45" s="70"/>
      <c r="AD45" s="70"/>
      <c r="AE45" s="70"/>
      <c r="AF45" s="70"/>
      <c r="AG45" s="70"/>
    </row>
    <row r="46" spans="19:33" x14ac:dyDescent="0.25">
      <c r="S46" s="70"/>
      <c r="T46" s="70"/>
      <c r="U46" s="70"/>
      <c r="V46" s="70"/>
      <c r="W46" s="70"/>
      <c r="X46" s="70"/>
      <c r="Y46" s="70"/>
      <c r="Z46" s="70"/>
      <c r="AA46" s="70" t="s">
        <v>464</v>
      </c>
      <c r="AB46" s="70"/>
      <c r="AC46" s="70"/>
      <c r="AD46" s="70"/>
      <c r="AE46" s="70"/>
      <c r="AF46" s="70"/>
      <c r="AG46" s="70"/>
    </row>
    <row r="47" spans="19:33" x14ac:dyDescent="0.25">
      <c r="S47" s="70"/>
      <c r="T47" s="70"/>
      <c r="U47" s="70"/>
      <c r="V47" s="70"/>
      <c r="W47" s="70"/>
      <c r="X47" s="70"/>
      <c r="Y47" s="70"/>
      <c r="Z47" s="70"/>
      <c r="AA47" s="70" t="s">
        <v>465</v>
      </c>
      <c r="AB47" s="70"/>
      <c r="AC47" s="70"/>
      <c r="AD47" s="70"/>
      <c r="AE47" s="70"/>
      <c r="AF47" s="70"/>
      <c r="AG47" s="70"/>
    </row>
    <row r="48" spans="19:33" x14ac:dyDescent="0.25">
      <c r="S48" s="70"/>
      <c r="T48" s="70"/>
      <c r="U48" s="70"/>
      <c r="V48" s="70"/>
      <c r="W48" s="70"/>
      <c r="X48" s="70"/>
      <c r="Y48" s="70"/>
      <c r="Z48" s="70"/>
      <c r="AA48" s="70" t="s">
        <v>466</v>
      </c>
      <c r="AB48" s="70"/>
      <c r="AC48" s="70"/>
      <c r="AD48" s="70"/>
      <c r="AE48" s="70"/>
      <c r="AF48" s="70"/>
      <c r="AG48" s="70"/>
    </row>
  </sheetData>
  <mergeCells count="1">
    <mergeCell ref="J3:L3"/>
  </mergeCells>
  <hyperlinks>
    <hyperlink ref="J3" location="Instructions!A1" display="Instructions"/>
    <hyperlink ref="J3:L3" location="'Tool Control'!A1" display="MSP Utility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H27"/>
  <sheetViews>
    <sheetView workbookViewId="0">
      <selection activeCell="B13" sqref="B13"/>
    </sheetView>
  </sheetViews>
  <sheetFormatPr defaultRowHeight="15" x14ac:dyDescent="0.25"/>
  <cols>
    <col min="1" max="1" width="12" customWidth="1"/>
    <col min="2" max="2" width="27.140625" customWidth="1"/>
    <col min="3" max="3" width="48.140625" customWidth="1"/>
    <col min="4" max="4" width="18.42578125" bestFit="1" customWidth="1"/>
    <col min="5" max="5" width="18.85546875" bestFit="1" customWidth="1"/>
    <col min="6" max="6" width="22.85546875" bestFit="1" customWidth="1"/>
    <col min="7" max="7" width="19" bestFit="1" customWidth="1"/>
  </cols>
  <sheetData>
    <row r="1" spans="1:8" s="19" customFormat="1" x14ac:dyDescent="0.25">
      <c r="A1" s="22" t="s">
        <v>35</v>
      </c>
      <c r="B1" s="22" t="s">
        <v>368</v>
      </c>
      <c r="C1" s="89" t="s">
        <v>553</v>
      </c>
      <c r="D1" s="89" t="s">
        <v>552</v>
      </c>
      <c r="E1" s="76" t="s">
        <v>467</v>
      </c>
      <c r="F1" s="76" t="s">
        <v>468</v>
      </c>
      <c r="G1" s="76" t="s">
        <v>469</v>
      </c>
      <c r="H1" s="76" t="s">
        <v>470</v>
      </c>
    </row>
    <row r="2" spans="1:8" x14ac:dyDescent="0.25">
      <c r="A2" s="21">
        <v>1</v>
      </c>
      <c r="B2" s="23" t="s">
        <v>36</v>
      </c>
      <c r="C2" s="14" t="s">
        <v>527</v>
      </c>
      <c r="E2" s="14"/>
      <c r="F2" s="14" t="s">
        <v>527</v>
      </c>
      <c r="G2" s="14"/>
      <c r="H2" s="25"/>
    </row>
    <row r="3" spans="1:8" x14ac:dyDescent="0.25">
      <c r="A3" s="21">
        <v>2</v>
      </c>
      <c r="B3" s="23" t="s">
        <v>37</v>
      </c>
      <c r="C3" s="14" t="s">
        <v>528</v>
      </c>
      <c r="E3" s="14"/>
      <c r="F3" s="14" t="s">
        <v>528</v>
      </c>
      <c r="G3" s="14"/>
      <c r="H3" s="25"/>
    </row>
    <row r="4" spans="1:8" x14ac:dyDescent="0.25">
      <c r="A4" s="21">
        <v>3</v>
      </c>
      <c r="B4" s="23" t="s">
        <v>38</v>
      </c>
      <c r="C4" s="14" t="s">
        <v>529</v>
      </c>
      <c r="E4" s="29"/>
      <c r="F4" s="14" t="s">
        <v>529</v>
      </c>
      <c r="G4" s="29"/>
      <c r="H4" s="29"/>
    </row>
    <row r="5" spans="1:8" x14ac:dyDescent="0.25">
      <c r="A5" s="21">
        <v>4</v>
      </c>
      <c r="B5" s="23" t="s">
        <v>39</v>
      </c>
      <c r="C5" s="14" t="s">
        <v>530</v>
      </c>
      <c r="E5" s="29"/>
      <c r="F5" s="14" t="s">
        <v>530</v>
      </c>
      <c r="G5" s="29"/>
      <c r="H5" s="29"/>
    </row>
    <row r="6" spans="1:8" ht="24" thickBot="1" x14ac:dyDescent="0.4">
      <c r="A6" s="21">
        <v>5</v>
      </c>
      <c r="B6" s="23" t="s">
        <v>40</v>
      </c>
      <c r="C6" s="90" t="s">
        <v>41</v>
      </c>
      <c r="D6" s="101" t="s">
        <v>532</v>
      </c>
      <c r="E6" s="94"/>
      <c r="F6" s="95"/>
    </row>
    <row r="7" spans="1:8" ht="31.5" thickTop="1" thickBot="1" x14ac:dyDescent="0.3">
      <c r="A7" s="21">
        <v>6</v>
      </c>
      <c r="B7" s="24" t="s">
        <v>537</v>
      </c>
      <c r="C7" s="30" t="s">
        <v>549</v>
      </c>
      <c r="D7" s="102"/>
    </row>
    <row r="8" spans="1:8" ht="16.5" thickTop="1" thickBot="1" x14ac:dyDescent="0.3">
      <c r="A8" s="21">
        <v>7</v>
      </c>
      <c r="B8" s="24" t="s">
        <v>534</v>
      </c>
      <c r="C8" s="25" t="s">
        <v>524</v>
      </c>
    </row>
    <row r="9" spans="1:8" ht="31.5" thickTop="1" thickBot="1" x14ac:dyDescent="0.3">
      <c r="A9" s="21">
        <v>8</v>
      </c>
      <c r="B9" s="24" t="s">
        <v>539</v>
      </c>
      <c r="C9" s="13" t="s">
        <v>550</v>
      </c>
      <c r="D9" s="102"/>
    </row>
    <row r="10" spans="1:8" ht="16.5" thickTop="1" thickBot="1" x14ac:dyDescent="0.3">
      <c r="A10" s="21">
        <v>9</v>
      </c>
      <c r="B10" s="24" t="s">
        <v>535</v>
      </c>
      <c r="C10" s="25" t="s">
        <v>525</v>
      </c>
    </row>
    <row r="11" spans="1:8" ht="31.5" thickTop="1" thickBot="1" x14ac:dyDescent="0.3">
      <c r="A11" s="21">
        <v>10</v>
      </c>
      <c r="B11" s="24" t="s">
        <v>540</v>
      </c>
      <c r="C11" s="13" t="s">
        <v>551</v>
      </c>
      <c r="D11" s="102"/>
    </row>
    <row r="12" spans="1:8" ht="16.5" thickTop="1" thickBot="1" x14ac:dyDescent="0.3">
      <c r="A12" s="21">
        <v>11</v>
      </c>
      <c r="B12" s="24" t="s">
        <v>536</v>
      </c>
      <c r="C12" s="25" t="s">
        <v>526</v>
      </c>
    </row>
    <row r="13" spans="1:8" ht="16.5" thickTop="1" thickBot="1" x14ac:dyDescent="0.3">
      <c r="A13" s="21">
        <v>10</v>
      </c>
      <c r="B13" s="24" t="s">
        <v>554</v>
      </c>
      <c r="C13" s="25"/>
      <c r="D13" s="102"/>
    </row>
    <row r="14" spans="1:8" ht="15.75" thickTop="1" x14ac:dyDescent="0.25">
      <c r="A14" s="20"/>
    </row>
    <row r="15" spans="1:8" x14ac:dyDescent="0.25">
      <c r="A15" s="20"/>
    </row>
    <row r="16" spans="1:8" x14ac:dyDescent="0.25">
      <c r="A16" s="20"/>
    </row>
    <row r="17" spans="1:1" x14ac:dyDescent="0.25">
      <c r="A17" s="20"/>
    </row>
    <row r="18" spans="1:1" x14ac:dyDescent="0.25">
      <c r="A18" s="20"/>
    </row>
    <row r="19" spans="1:1" x14ac:dyDescent="0.25">
      <c r="A19" s="20"/>
    </row>
    <row r="20" spans="1:1" x14ac:dyDescent="0.25">
      <c r="A20" s="20"/>
    </row>
    <row r="21" spans="1:1" x14ac:dyDescent="0.25">
      <c r="A21" s="20"/>
    </row>
    <row r="22" spans="1:1" x14ac:dyDescent="0.25">
      <c r="A22" s="20"/>
    </row>
    <row r="23" spans="1:1" x14ac:dyDescent="0.25">
      <c r="A23" s="20"/>
    </row>
    <row r="24" spans="1:1" x14ac:dyDescent="0.25">
      <c r="A24" s="20"/>
    </row>
    <row r="25" spans="1:1" x14ac:dyDescent="0.25">
      <c r="A25" s="20"/>
    </row>
    <row r="26" spans="1:1" x14ac:dyDescent="0.25">
      <c r="A26" s="20"/>
    </row>
    <row r="27" spans="1:1" x14ac:dyDescent="0.25">
      <c r="A27" s="20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MSP Utility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31"/>
  <sheetViews>
    <sheetView tabSelected="1"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B31" sqref="B31"/>
    </sheetView>
  </sheetViews>
  <sheetFormatPr defaultRowHeight="15" x14ac:dyDescent="0.25"/>
  <cols>
    <col min="1" max="1" width="20.28515625" customWidth="1"/>
    <col min="2" max="2" width="36.28515625" bestFit="1" customWidth="1"/>
    <col min="3" max="3" width="13.140625" bestFit="1" customWidth="1"/>
    <col min="4" max="4" width="26.85546875" bestFit="1" customWidth="1"/>
    <col min="5" max="7" width="20.5703125" bestFit="1" customWidth="1"/>
    <col min="8" max="13" width="20.5703125" customWidth="1"/>
  </cols>
  <sheetData>
    <row r="1" spans="1:13" s="48" customFormat="1" x14ac:dyDescent="0.25">
      <c r="A1" s="9" t="s">
        <v>538</v>
      </c>
      <c r="B1" s="8" t="s">
        <v>368</v>
      </c>
      <c r="C1" s="8" t="s">
        <v>541</v>
      </c>
      <c r="D1" s="8" t="s">
        <v>21</v>
      </c>
      <c r="E1" s="8" t="s">
        <v>219</v>
      </c>
      <c r="F1" s="8" t="s">
        <v>220</v>
      </c>
      <c r="G1" s="8" t="s">
        <v>221</v>
      </c>
      <c r="H1" s="8" t="s">
        <v>222</v>
      </c>
      <c r="I1" s="8" t="s">
        <v>223</v>
      </c>
      <c r="J1" s="8" t="s">
        <v>224</v>
      </c>
      <c r="K1" s="8" t="s">
        <v>225</v>
      </c>
      <c r="L1" s="8" t="s">
        <v>228</v>
      </c>
      <c r="M1" s="8" t="s">
        <v>229</v>
      </c>
    </row>
    <row r="2" spans="1:13" x14ac:dyDescent="0.25">
      <c r="A2" s="4" t="s">
        <v>23</v>
      </c>
      <c r="B2" s="77" t="s">
        <v>471</v>
      </c>
      <c r="C2" s="100"/>
      <c r="D2" s="47" t="s">
        <v>547</v>
      </c>
      <c r="E2" s="13" t="s">
        <v>485</v>
      </c>
      <c r="F2" s="13"/>
      <c r="G2" s="13"/>
      <c r="H2" s="13"/>
      <c r="I2" s="13"/>
      <c r="J2" s="13"/>
      <c r="K2" s="13"/>
      <c r="L2" s="13"/>
      <c r="M2" s="11"/>
    </row>
    <row r="3" spans="1:13" x14ac:dyDescent="0.25">
      <c r="A3" s="4" t="s">
        <v>23</v>
      </c>
      <c r="B3" s="59" t="s">
        <v>476</v>
      </c>
      <c r="C3" s="77"/>
      <c r="D3" s="13" t="s">
        <v>511</v>
      </c>
      <c r="E3" s="13"/>
      <c r="F3" s="13"/>
      <c r="G3" s="13"/>
      <c r="H3" s="13"/>
      <c r="I3" s="13"/>
      <c r="J3" s="13"/>
      <c r="K3" s="13"/>
      <c r="L3" s="13"/>
      <c r="M3" s="2"/>
    </row>
    <row r="4" spans="1:13" x14ac:dyDescent="0.25">
      <c r="A4" s="4" t="s">
        <v>23</v>
      </c>
      <c r="B4" s="77" t="s">
        <v>477</v>
      </c>
      <c r="C4" s="77"/>
      <c r="D4" s="13" t="s">
        <v>512</v>
      </c>
      <c r="E4" s="13"/>
      <c r="F4" s="13"/>
      <c r="G4" s="13"/>
      <c r="H4" s="13"/>
      <c r="I4" s="13"/>
      <c r="J4" s="13"/>
      <c r="K4" s="13"/>
      <c r="L4" s="13"/>
      <c r="M4" s="2"/>
    </row>
    <row r="5" spans="1:13" x14ac:dyDescent="0.25">
      <c r="A5" s="4" t="s">
        <v>23</v>
      </c>
      <c r="B5" s="77" t="s">
        <v>486</v>
      </c>
      <c r="C5" s="77"/>
      <c r="D5" s="13" t="s">
        <v>26</v>
      </c>
      <c r="E5" s="13"/>
      <c r="F5" s="13"/>
      <c r="G5" s="13"/>
      <c r="H5" s="13"/>
      <c r="I5" s="13"/>
      <c r="J5" s="13"/>
      <c r="K5" s="13"/>
      <c r="L5" s="13"/>
      <c r="M5" s="2"/>
    </row>
    <row r="6" spans="1:13" x14ac:dyDescent="0.25">
      <c r="A6" s="4" t="s">
        <v>23</v>
      </c>
      <c r="B6" s="77" t="s">
        <v>487</v>
      </c>
      <c r="C6" s="77"/>
      <c r="D6" s="13"/>
      <c r="E6" s="13"/>
      <c r="F6" s="13"/>
      <c r="G6" s="13"/>
      <c r="H6" s="13"/>
      <c r="I6" s="13"/>
      <c r="J6" s="13"/>
      <c r="K6" s="13"/>
      <c r="L6" s="13"/>
      <c r="M6" s="2"/>
    </row>
    <row r="7" spans="1:13" x14ac:dyDescent="0.25">
      <c r="A7" s="4" t="s">
        <v>23</v>
      </c>
      <c r="B7" s="77" t="s">
        <v>488</v>
      </c>
      <c r="C7" s="77"/>
      <c r="D7" s="13" t="s">
        <v>30</v>
      </c>
      <c r="E7" s="13"/>
      <c r="F7" s="13"/>
      <c r="G7" s="13"/>
      <c r="H7" s="13"/>
      <c r="I7" s="13"/>
      <c r="J7" s="13"/>
      <c r="K7" s="13"/>
      <c r="L7" s="13"/>
      <c r="M7" s="2"/>
    </row>
    <row r="8" spans="1:13" x14ac:dyDescent="0.25">
      <c r="A8" s="4" t="s">
        <v>23</v>
      </c>
      <c r="B8" s="77" t="s">
        <v>489</v>
      </c>
      <c r="C8" s="77"/>
      <c r="D8" s="13" t="s">
        <v>30</v>
      </c>
      <c r="E8" s="13"/>
      <c r="F8" s="13"/>
      <c r="G8" s="13"/>
      <c r="H8" s="13"/>
      <c r="I8" s="13"/>
      <c r="J8" s="13"/>
      <c r="K8" s="13"/>
      <c r="L8" s="13"/>
      <c r="M8" s="13"/>
    </row>
    <row r="9" spans="1:13" x14ac:dyDescent="0.25">
      <c r="A9" s="4" t="s">
        <v>23</v>
      </c>
      <c r="B9" s="77" t="s">
        <v>478</v>
      </c>
      <c r="C9" s="77"/>
      <c r="D9" s="13" t="s">
        <v>523</v>
      </c>
      <c r="E9" s="13"/>
      <c r="F9" s="13"/>
      <c r="G9" s="13"/>
      <c r="H9" s="13"/>
      <c r="I9" s="13"/>
      <c r="J9" s="13"/>
      <c r="K9" s="13"/>
      <c r="L9" s="13"/>
      <c r="M9" s="13"/>
    </row>
    <row r="10" spans="1:13" x14ac:dyDescent="0.25">
      <c r="A10" s="4" t="s">
        <v>23</v>
      </c>
      <c r="B10" s="77" t="s">
        <v>479</v>
      </c>
      <c r="C10" s="77"/>
      <c r="D10" s="13" t="s">
        <v>523</v>
      </c>
      <c r="E10" s="13"/>
      <c r="F10" s="13"/>
      <c r="G10" s="13"/>
      <c r="H10" s="13"/>
      <c r="I10" s="13"/>
      <c r="J10" s="13"/>
      <c r="K10" s="13"/>
      <c r="L10" s="13"/>
      <c r="M10" s="74"/>
    </row>
    <row r="11" spans="1:13" x14ac:dyDescent="0.25">
      <c r="A11" s="4" t="s">
        <v>23</v>
      </c>
      <c r="B11" s="77" t="s">
        <v>490</v>
      </c>
      <c r="C11" s="77"/>
      <c r="D11" s="13" t="s">
        <v>367</v>
      </c>
      <c r="E11" s="13"/>
      <c r="F11" s="13"/>
      <c r="G11" s="13"/>
      <c r="H11" s="13"/>
      <c r="I11" s="13"/>
      <c r="J11" s="13"/>
      <c r="K11" s="13"/>
      <c r="L11" s="13"/>
      <c r="M11" s="96"/>
    </row>
    <row r="12" spans="1:13" x14ac:dyDescent="0.25">
      <c r="A12" s="4" t="s">
        <v>23</v>
      </c>
      <c r="B12" s="77" t="s">
        <v>491</v>
      </c>
      <c r="C12" s="77"/>
      <c r="D12" s="13" t="s">
        <v>513</v>
      </c>
      <c r="E12" s="13"/>
      <c r="F12" s="13"/>
      <c r="G12" s="13"/>
      <c r="H12" s="13"/>
      <c r="I12" s="13"/>
      <c r="J12" s="13"/>
      <c r="K12" s="13"/>
      <c r="L12" s="13"/>
      <c r="M12" s="11"/>
    </row>
    <row r="13" spans="1:13" x14ac:dyDescent="0.25">
      <c r="A13" s="4" t="s">
        <v>23</v>
      </c>
      <c r="B13" s="77" t="s">
        <v>492</v>
      </c>
      <c r="C13" s="77"/>
      <c r="D13" s="13" t="s">
        <v>514</v>
      </c>
      <c r="E13" s="13"/>
      <c r="F13" s="13"/>
      <c r="G13" s="13"/>
      <c r="H13" s="13"/>
      <c r="I13" s="13"/>
      <c r="J13" s="13"/>
      <c r="K13" s="13"/>
      <c r="L13" s="13"/>
      <c r="M13" s="13"/>
    </row>
    <row r="14" spans="1:13" x14ac:dyDescent="0.25">
      <c r="A14" s="4" t="s">
        <v>23</v>
      </c>
      <c r="B14" s="77" t="s">
        <v>480</v>
      </c>
      <c r="C14" s="77"/>
      <c r="D14" s="13"/>
      <c r="E14" s="13"/>
      <c r="F14" s="13"/>
      <c r="G14" s="13"/>
      <c r="H14" s="13"/>
      <c r="I14" s="13"/>
      <c r="J14" s="13"/>
      <c r="K14" s="13"/>
      <c r="L14" s="13"/>
      <c r="M14" s="96"/>
    </row>
    <row r="15" spans="1:13" x14ac:dyDescent="0.25">
      <c r="A15" s="4" t="s">
        <v>23</v>
      </c>
      <c r="B15" s="77" t="s">
        <v>473</v>
      </c>
      <c r="C15" s="77"/>
      <c r="D15" s="13"/>
      <c r="E15" s="13"/>
      <c r="F15" s="13"/>
      <c r="G15" s="13"/>
      <c r="H15" s="13"/>
      <c r="I15" s="13"/>
      <c r="J15" s="13"/>
      <c r="K15" s="13"/>
      <c r="L15" s="13"/>
      <c r="M15" s="96"/>
    </row>
    <row r="16" spans="1:13" x14ac:dyDescent="0.25">
      <c r="A16" s="4" t="s">
        <v>23</v>
      </c>
      <c r="B16" s="77" t="s">
        <v>474</v>
      </c>
      <c r="C16" s="77"/>
      <c r="D16" s="13" t="s">
        <v>515</v>
      </c>
      <c r="E16" s="13"/>
      <c r="F16" s="13"/>
      <c r="G16" s="13"/>
      <c r="H16" s="13"/>
      <c r="I16" s="13"/>
      <c r="J16" s="13"/>
      <c r="K16" s="13"/>
      <c r="L16" s="13"/>
      <c r="M16" s="13"/>
    </row>
    <row r="17" spans="1:13" x14ac:dyDescent="0.25">
      <c r="A17" s="4" t="s">
        <v>23</v>
      </c>
      <c r="B17" s="77" t="s">
        <v>475</v>
      </c>
      <c r="C17" s="77"/>
      <c r="D17" s="13" t="s">
        <v>516</v>
      </c>
      <c r="E17" s="13"/>
      <c r="F17" s="13"/>
      <c r="G17" s="13"/>
      <c r="H17" s="13"/>
      <c r="I17" s="13"/>
      <c r="J17" s="13"/>
      <c r="K17" s="13"/>
      <c r="L17" s="13"/>
      <c r="M17" s="96"/>
    </row>
    <row r="18" spans="1:13" x14ac:dyDescent="0.25">
      <c r="A18" s="4" t="s">
        <v>23</v>
      </c>
      <c r="B18" s="77" t="s">
        <v>493</v>
      </c>
      <c r="C18" s="77"/>
      <c r="D18" s="13"/>
      <c r="E18" s="13"/>
      <c r="F18" s="13"/>
      <c r="G18" s="13"/>
      <c r="H18" s="13"/>
      <c r="I18" s="13"/>
      <c r="J18" s="13"/>
      <c r="K18" s="13"/>
      <c r="L18" s="13"/>
      <c r="M18" s="96"/>
    </row>
    <row r="19" spans="1:13" x14ac:dyDescent="0.25">
      <c r="A19" s="4" t="s">
        <v>23</v>
      </c>
      <c r="B19" s="77" t="s">
        <v>494</v>
      </c>
      <c r="C19" s="77"/>
      <c r="D19" s="13"/>
      <c r="E19" s="13"/>
      <c r="F19" s="13"/>
      <c r="G19" s="13"/>
      <c r="H19" s="13"/>
      <c r="I19" s="13"/>
      <c r="J19" s="13"/>
      <c r="K19" s="13"/>
      <c r="L19" s="13"/>
      <c r="M19" s="96"/>
    </row>
    <row r="20" spans="1:13" x14ac:dyDescent="0.25">
      <c r="A20" s="4" t="s">
        <v>23</v>
      </c>
      <c r="B20" s="77" t="s">
        <v>495</v>
      </c>
      <c r="C20" s="77"/>
      <c r="D20" s="13"/>
      <c r="E20" s="13"/>
      <c r="F20" s="13"/>
      <c r="G20" s="13"/>
      <c r="H20" s="13"/>
      <c r="I20" s="13"/>
      <c r="J20" s="13"/>
      <c r="K20" s="13"/>
      <c r="L20" s="13"/>
      <c r="M20" s="96"/>
    </row>
    <row r="21" spans="1:13" x14ac:dyDescent="0.25">
      <c r="A21" s="4" t="s">
        <v>23</v>
      </c>
      <c r="B21" s="77" t="s">
        <v>496</v>
      </c>
      <c r="C21" s="77"/>
      <c r="D21" s="13"/>
      <c r="E21" s="13"/>
      <c r="F21" s="13"/>
      <c r="G21" s="13"/>
      <c r="H21" s="13"/>
      <c r="I21" s="13"/>
      <c r="J21" s="13"/>
      <c r="K21" s="13"/>
      <c r="L21" s="13"/>
      <c r="M21" s="96"/>
    </row>
    <row r="22" spans="1:13" x14ac:dyDescent="0.25">
      <c r="A22" s="4" t="s">
        <v>23</v>
      </c>
      <c r="B22" s="77" t="s">
        <v>497</v>
      </c>
      <c r="C22" s="77"/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1:13" x14ac:dyDescent="0.25">
      <c r="A23" s="4" t="s">
        <v>23</v>
      </c>
      <c r="B23" s="77" t="s">
        <v>498</v>
      </c>
      <c r="C23" s="77"/>
      <c r="D23" s="13" t="s">
        <v>360</v>
      </c>
      <c r="E23" s="13"/>
      <c r="F23" s="13"/>
      <c r="G23" s="13"/>
      <c r="H23" s="13"/>
      <c r="I23" s="13"/>
      <c r="J23" s="13"/>
      <c r="K23" s="13"/>
      <c r="L23" s="13"/>
      <c r="M23" s="13"/>
    </row>
    <row r="24" spans="1:13" x14ac:dyDescent="0.25">
      <c r="A24" s="4" t="s">
        <v>23</v>
      </c>
      <c r="B24" s="77" t="s">
        <v>499</v>
      </c>
      <c r="C24" s="77"/>
      <c r="D24" s="13"/>
      <c r="E24" s="13"/>
      <c r="F24" s="13"/>
      <c r="G24" s="13"/>
      <c r="H24" s="13"/>
      <c r="I24" s="13"/>
      <c r="J24" s="13"/>
      <c r="K24" s="13"/>
      <c r="L24" s="13"/>
      <c r="M24" s="13"/>
    </row>
    <row r="25" spans="1:13" x14ac:dyDescent="0.25">
      <c r="A25" s="4" t="s">
        <v>23</v>
      </c>
      <c r="B25" s="77" t="s">
        <v>500</v>
      </c>
      <c r="C25" s="77"/>
      <c r="D25" s="13"/>
      <c r="E25" s="13"/>
      <c r="F25" s="13"/>
      <c r="G25" s="13"/>
      <c r="H25" s="13"/>
      <c r="I25" s="13"/>
      <c r="J25" s="13"/>
      <c r="K25" s="13"/>
      <c r="L25" s="13"/>
      <c r="M25" s="13"/>
    </row>
    <row r="26" spans="1:13" x14ac:dyDescent="0.25">
      <c r="A26" s="4" t="s">
        <v>23</v>
      </c>
      <c r="B26" s="77" t="s">
        <v>501</v>
      </c>
      <c r="C26" s="77"/>
      <c r="D26" s="13" t="s">
        <v>517</v>
      </c>
      <c r="E26" s="13"/>
      <c r="F26" s="13"/>
      <c r="G26" s="13"/>
      <c r="H26" s="13"/>
      <c r="I26" s="13"/>
      <c r="J26" s="13"/>
      <c r="K26" s="13"/>
      <c r="L26" s="13"/>
      <c r="M26" s="75"/>
    </row>
    <row r="27" spans="1:13" x14ac:dyDescent="0.25">
      <c r="A27" s="4" t="s">
        <v>23</v>
      </c>
      <c r="B27" s="77" t="s">
        <v>502</v>
      </c>
      <c r="C27" s="77"/>
      <c r="D27" s="13"/>
      <c r="E27" s="13"/>
      <c r="F27" s="13"/>
      <c r="G27" s="13"/>
      <c r="H27" s="13"/>
      <c r="I27" s="13"/>
      <c r="J27" s="13"/>
      <c r="K27" s="13"/>
      <c r="L27" s="13"/>
      <c r="M27" s="96"/>
    </row>
    <row r="28" spans="1:13" x14ac:dyDescent="0.25">
      <c r="A28" s="4" t="s">
        <v>23</v>
      </c>
      <c r="B28" s="77" t="s">
        <v>481</v>
      </c>
      <c r="C28" s="77"/>
      <c r="D28" s="13" t="s">
        <v>518</v>
      </c>
      <c r="E28" s="13"/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 s="4" t="s">
        <v>23</v>
      </c>
      <c r="B29" s="77" t="s">
        <v>482</v>
      </c>
      <c r="C29" s="77"/>
      <c r="D29" s="13" t="s">
        <v>519</v>
      </c>
      <c r="E29" s="13"/>
      <c r="F29" s="13"/>
      <c r="G29" s="13"/>
      <c r="H29" s="13"/>
      <c r="I29" s="13"/>
      <c r="J29" s="13"/>
      <c r="K29" s="13"/>
      <c r="L29" s="13"/>
      <c r="M29" s="13"/>
    </row>
    <row r="30" spans="1:13" x14ac:dyDescent="0.25">
      <c r="A30" s="4" t="s">
        <v>23</v>
      </c>
      <c r="B30" s="77" t="s">
        <v>483</v>
      </c>
      <c r="C30" s="77"/>
      <c r="D30" s="47" t="s">
        <v>548</v>
      </c>
      <c r="E30" s="13"/>
      <c r="F30" s="13"/>
      <c r="G30" s="13"/>
      <c r="H30" s="13"/>
      <c r="I30" s="13"/>
      <c r="J30" s="13"/>
      <c r="K30" s="13"/>
      <c r="L30" s="13"/>
      <c r="M30" s="13"/>
    </row>
    <row r="31" spans="1:13" x14ac:dyDescent="0.25">
      <c r="A31" s="4" t="s">
        <v>23</v>
      </c>
      <c r="B31" s="77" t="s">
        <v>472</v>
      </c>
      <c r="C31" s="77"/>
      <c r="D31" s="47" t="s">
        <v>548</v>
      </c>
      <c r="E31" s="13"/>
      <c r="F31" s="13"/>
      <c r="G31" s="13"/>
      <c r="H31" s="13"/>
      <c r="I31" s="13"/>
      <c r="J31" s="13"/>
      <c r="K31" s="13"/>
      <c r="L31" s="13"/>
      <c r="M31" s="13"/>
    </row>
  </sheetData>
  <dataConsolidate/>
  <dataValidations count="7">
    <dataValidation type="list" allowBlank="1" showInputMessage="1" showErrorMessage="1" sqref="M13">
      <formula1>"Y, N"</formula1>
    </dataValidation>
    <dataValidation type="list" allowBlank="1" showInputMessage="1" showErrorMessage="1" sqref="M2">
      <formula1>"AAA"</formula1>
    </dataValidation>
    <dataValidation type="list" allowBlank="1" showInputMessage="1" showErrorMessage="1" sqref="M10">
      <formula1>"O, I, S, OH, IPC"</formula1>
    </dataValidation>
    <dataValidation type="list" allowBlank="1" showInputMessage="1" showErrorMessage="1" sqref="M12">
      <formula1>"E, H, D"</formula1>
    </dataValidation>
    <dataValidation type="list" allowBlank="1" showInputMessage="1" showErrorMessage="1" sqref="M22">
      <formula1>"AL,AK,AZ,AR,CA,CO,CT,DE,DC,FL,GA,HI,ID,IL,IN,IA,KS,KY,LA,ME,MD,MA,MI,MN,MS,MO,MT,NE,NV,NH,NJ,NM,NY,NC,ND,OH,OK,OR,PA,RI,SC,SD,TN,TX,UT,VT,VA,WA,WV,WI,WY,PR"</formula1>
    </dataValidation>
    <dataValidation type="list" showErrorMessage="1" errorTitle="!!Field Selection Invalid!!" error="Only Fields to be selected are 'Have' &amp; 'Don't Have'" sqref="A2:A31">
      <formula1>"Have, Don't Have"</formula1>
    </dataValidation>
    <dataValidation type="list" allowBlank="1" showInputMessage="1" showErrorMessage="1" sqref="M28:M31 E30:L31">
      <formula1>"D25, D26, D27, D02, D09, C06, D04, D10, D14, D08"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"/>
  <sheetViews>
    <sheetView zoomScaleNormal="100" workbookViewId="0">
      <pane xSplit="2" ySplit="1" topLeftCell="C2" activePane="bottomRight" state="frozen"/>
      <selection activeCell="B5" sqref="B5"/>
      <selection pane="topRight" activeCell="B5" sqref="B5"/>
      <selection pane="bottomLeft" activeCell="B5" sqref="B5"/>
      <selection pane="bottomRight" activeCell="B14" sqref="B14"/>
    </sheetView>
  </sheetViews>
  <sheetFormatPr defaultRowHeight="15" x14ac:dyDescent="0.25"/>
  <cols>
    <col min="1" max="1" width="14.140625" style="7" customWidth="1"/>
    <col min="2" max="2" width="39" style="1" customWidth="1"/>
    <col min="3" max="4" width="27.85546875" style="1" customWidth="1"/>
    <col min="5" max="6" width="34.5703125" style="1" customWidth="1"/>
    <col min="7" max="9" width="27.85546875" style="1" customWidth="1"/>
    <col min="10" max="16384" width="9.140625" style="1"/>
  </cols>
  <sheetData>
    <row r="1" spans="1:9" x14ac:dyDescent="0.25">
      <c r="A1" s="35" t="s">
        <v>22</v>
      </c>
      <c r="B1" s="10" t="s">
        <v>1</v>
      </c>
      <c r="C1" s="10" t="s">
        <v>21</v>
      </c>
      <c r="D1" s="10" t="s">
        <v>219</v>
      </c>
      <c r="E1" s="10" t="s">
        <v>220</v>
      </c>
      <c r="F1" s="10" t="s">
        <v>221</v>
      </c>
      <c r="G1" s="10" t="s">
        <v>222</v>
      </c>
      <c r="H1" s="10" t="s">
        <v>223</v>
      </c>
      <c r="I1" s="10" t="s">
        <v>224</v>
      </c>
    </row>
    <row r="2" spans="1:9" s="54" customFormat="1" x14ac:dyDescent="0.25">
      <c r="A2" s="4" t="s">
        <v>23</v>
      </c>
      <c r="B2" s="42" t="s">
        <v>471</v>
      </c>
      <c r="C2" s="52" t="s">
        <v>485</v>
      </c>
      <c r="D2" s="53"/>
      <c r="E2" s="53"/>
      <c r="F2" s="53"/>
      <c r="G2" s="53"/>
      <c r="H2" s="53"/>
      <c r="I2" s="53"/>
    </row>
    <row r="3" spans="1:9" s="54" customFormat="1" x14ac:dyDescent="0.25">
      <c r="A3" s="4" t="s">
        <v>23</v>
      </c>
      <c r="B3" s="42" t="s">
        <v>472</v>
      </c>
      <c r="C3" s="53" t="s">
        <v>520</v>
      </c>
      <c r="D3" s="53"/>
      <c r="E3" s="53"/>
      <c r="F3" s="53"/>
      <c r="G3" s="53"/>
      <c r="H3" s="53"/>
      <c r="I3" s="53"/>
    </row>
    <row r="4" spans="1:9" s="54" customFormat="1" x14ac:dyDescent="0.25">
      <c r="A4" s="4" t="s">
        <v>23</v>
      </c>
      <c r="B4" s="42" t="s">
        <v>473</v>
      </c>
      <c r="C4" s="52" t="s">
        <v>521</v>
      </c>
      <c r="D4" s="53"/>
      <c r="E4" s="53"/>
      <c r="F4" s="53"/>
      <c r="G4" s="53"/>
      <c r="H4" s="53"/>
      <c r="I4" s="53"/>
    </row>
    <row r="5" spans="1:9" s="54" customFormat="1" x14ac:dyDescent="0.25">
      <c r="A5" s="4" t="s">
        <v>23</v>
      </c>
      <c r="B5" s="42" t="s">
        <v>474</v>
      </c>
      <c r="C5" s="53" t="s">
        <v>515</v>
      </c>
      <c r="D5" s="53"/>
      <c r="E5" s="53"/>
      <c r="F5" s="53"/>
      <c r="G5" s="53"/>
      <c r="H5" s="53"/>
      <c r="I5" s="53"/>
    </row>
    <row r="6" spans="1:9" s="54" customFormat="1" x14ac:dyDescent="0.25">
      <c r="A6" s="4" t="s">
        <v>23</v>
      </c>
      <c r="B6" s="42" t="s">
        <v>475</v>
      </c>
      <c r="C6" s="52" t="s">
        <v>516</v>
      </c>
      <c r="D6" s="53"/>
      <c r="E6" s="53"/>
      <c r="F6" s="53"/>
      <c r="G6" s="53"/>
      <c r="H6" s="53"/>
      <c r="I6" s="53"/>
    </row>
    <row r="7" spans="1:9" s="54" customFormat="1" x14ac:dyDescent="0.25">
      <c r="A7" s="4" t="s">
        <v>23</v>
      </c>
      <c r="B7" s="42" t="s">
        <v>476</v>
      </c>
      <c r="C7" s="52" t="s">
        <v>511</v>
      </c>
      <c r="D7" s="53"/>
      <c r="E7" s="53"/>
      <c r="F7" s="53"/>
      <c r="G7" s="53"/>
      <c r="H7" s="53"/>
      <c r="I7" s="53"/>
    </row>
    <row r="8" spans="1:9" s="54" customFormat="1" x14ac:dyDescent="0.25">
      <c r="A8" s="4" t="s">
        <v>23</v>
      </c>
      <c r="B8" s="42" t="s">
        <v>477</v>
      </c>
      <c r="C8" s="52" t="s">
        <v>512</v>
      </c>
      <c r="D8" s="53"/>
      <c r="E8" s="53"/>
      <c r="F8" s="53"/>
      <c r="G8" s="53"/>
      <c r="H8" s="53"/>
      <c r="I8" s="53"/>
    </row>
    <row r="9" spans="1:9" s="54" customFormat="1" x14ac:dyDescent="0.25">
      <c r="A9" s="4" t="s">
        <v>23</v>
      </c>
      <c r="B9" s="42" t="s">
        <v>478</v>
      </c>
      <c r="C9" s="53" t="s">
        <v>523</v>
      </c>
      <c r="D9" s="53"/>
      <c r="E9" s="53"/>
      <c r="F9" s="53"/>
      <c r="G9" s="53"/>
      <c r="H9" s="53"/>
      <c r="I9" s="53"/>
    </row>
    <row r="10" spans="1:9" s="54" customFormat="1" x14ac:dyDescent="0.25">
      <c r="A10" s="4" t="s">
        <v>23</v>
      </c>
      <c r="B10" s="42" t="s">
        <v>479</v>
      </c>
      <c r="C10" s="52" t="s">
        <v>206</v>
      </c>
      <c r="D10" s="52"/>
      <c r="E10" s="52"/>
      <c r="F10" s="52"/>
      <c r="G10" s="52"/>
      <c r="H10" s="52"/>
      <c r="I10" s="52"/>
    </row>
    <row r="11" spans="1:9" s="54" customFormat="1" x14ac:dyDescent="0.25">
      <c r="A11" s="4" t="s">
        <v>23</v>
      </c>
      <c r="B11" s="42" t="s">
        <v>480</v>
      </c>
      <c r="C11" s="52" t="s">
        <v>522</v>
      </c>
      <c r="D11" s="52"/>
      <c r="E11" s="52"/>
      <c r="F11" s="52"/>
      <c r="G11" s="52"/>
      <c r="H11" s="52"/>
      <c r="I11" s="52"/>
    </row>
    <row r="12" spans="1:9" s="54" customFormat="1" x14ac:dyDescent="0.25">
      <c r="A12" s="4" t="s">
        <v>23</v>
      </c>
      <c r="B12" s="42" t="s">
        <v>481</v>
      </c>
      <c r="C12" s="52" t="s">
        <v>518</v>
      </c>
      <c r="D12" s="52"/>
      <c r="E12" s="52"/>
      <c r="F12" s="52"/>
      <c r="G12" s="52"/>
      <c r="H12" s="52"/>
      <c r="I12" s="52"/>
    </row>
    <row r="13" spans="1:9" s="54" customFormat="1" x14ac:dyDescent="0.25">
      <c r="A13" s="4" t="s">
        <v>23</v>
      </c>
      <c r="B13" s="42" t="s">
        <v>482</v>
      </c>
      <c r="C13" s="53" t="s">
        <v>519</v>
      </c>
      <c r="D13" s="53"/>
      <c r="E13" s="53"/>
      <c r="F13" s="53"/>
      <c r="G13" s="53"/>
      <c r="H13" s="53"/>
      <c r="I13" s="53"/>
    </row>
    <row r="14" spans="1:9" s="54" customFormat="1" x14ac:dyDescent="0.25">
      <c r="A14" s="4" t="s">
        <v>23</v>
      </c>
      <c r="B14" s="42" t="s">
        <v>483</v>
      </c>
      <c r="C14" s="47" t="s">
        <v>201</v>
      </c>
      <c r="D14" s="52"/>
      <c r="E14" s="52"/>
      <c r="F14" s="52"/>
      <c r="G14" s="52"/>
      <c r="H14" s="52"/>
      <c r="I14" s="52"/>
    </row>
    <row r="15" spans="1:9" s="54" customFormat="1" x14ac:dyDescent="0.25">
      <c r="A15" s="4" t="s">
        <v>23</v>
      </c>
      <c r="B15" s="42" t="s">
        <v>484</v>
      </c>
      <c r="C15" s="53" t="s">
        <v>97</v>
      </c>
      <c r="D15" s="53"/>
      <c r="E15" s="53"/>
      <c r="F15" s="53"/>
      <c r="G15" s="53"/>
      <c r="H15" s="53"/>
      <c r="I15" s="53"/>
    </row>
  </sheetData>
  <sheetProtection selectLockedCells="1"/>
  <autoFilter ref="A1:H15"/>
  <dataConsolidate/>
  <dataValidations count="2">
    <dataValidation type="list" showErrorMessage="1" errorTitle="!!Field Selection Invalid!!" error="Only Fields to be selected are 'Have' &amp; 'Don't Have'" sqref="A2:A15">
      <formula1>"Have, Don't Have"</formula1>
    </dataValidation>
    <dataValidation type="list" allowBlank="1" showInputMessage="1" showErrorMessage="1" sqref="C15:I15">
      <formula1>"CR,HCR, PAF, HQPAF, HQCAPE, PAF_HQ, CAPE, STOR"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7"/>
  <sheetViews>
    <sheetView zoomScaleNormal="100" workbookViewId="0">
      <pane xSplit="2" ySplit="1" topLeftCell="C2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5" x14ac:dyDescent="0.25"/>
  <cols>
    <col min="1" max="1" width="14.140625" style="7" customWidth="1"/>
    <col min="2" max="2" width="39" style="1" customWidth="1"/>
    <col min="3" max="3" width="30" style="1" bestFit="1" customWidth="1"/>
    <col min="4" max="4" width="27.85546875" style="1" customWidth="1"/>
    <col min="5" max="6" width="34.5703125" style="1" customWidth="1"/>
    <col min="7" max="9" width="27.85546875" style="1" customWidth="1"/>
    <col min="10" max="16384" width="9.140625" style="1"/>
  </cols>
  <sheetData>
    <row r="1" spans="1:9" x14ac:dyDescent="0.25">
      <c r="A1" s="35" t="s">
        <v>22</v>
      </c>
      <c r="B1" s="10" t="s">
        <v>1</v>
      </c>
      <c r="C1" s="10" t="s">
        <v>21</v>
      </c>
      <c r="D1" s="10" t="s">
        <v>219</v>
      </c>
      <c r="E1" s="10" t="s">
        <v>220</v>
      </c>
      <c r="F1" s="10" t="s">
        <v>221</v>
      </c>
      <c r="G1" s="10" t="s">
        <v>222</v>
      </c>
      <c r="H1" s="10" t="s">
        <v>223</v>
      </c>
      <c r="I1" s="10" t="s">
        <v>224</v>
      </c>
    </row>
    <row r="2" spans="1:9" s="54" customFormat="1" x14ac:dyDescent="0.25">
      <c r="A2" s="4" t="s">
        <v>23</v>
      </c>
      <c r="B2" s="42" t="s">
        <v>503</v>
      </c>
      <c r="C2" s="52" t="s">
        <v>485</v>
      </c>
      <c r="D2" s="53"/>
      <c r="E2" s="53"/>
      <c r="F2" s="53"/>
      <c r="G2" s="53"/>
      <c r="H2" s="53"/>
      <c r="I2" s="53"/>
    </row>
    <row r="3" spans="1:9" s="54" customFormat="1" x14ac:dyDescent="0.25">
      <c r="A3" s="4" t="s">
        <v>23</v>
      </c>
      <c r="B3" s="42" t="s">
        <v>504</v>
      </c>
      <c r="C3" s="52" t="s">
        <v>485</v>
      </c>
      <c r="D3" s="53"/>
      <c r="E3" s="53"/>
      <c r="F3" s="53"/>
      <c r="G3" s="53"/>
      <c r="H3" s="53"/>
      <c r="I3" s="53"/>
    </row>
    <row r="4" spans="1:9" s="54" customFormat="1" x14ac:dyDescent="0.25">
      <c r="A4" s="4" t="s">
        <v>23</v>
      </c>
      <c r="B4" s="42" t="s">
        <v>505</v>
      </c>
      <c r="C4" s="52"/>
      <c r="D4" s="53"/>
      <c r="E4" s="53"/>
      <c r="F4" s="53"/>
      <c r="G4" s="53"/>
      <c r="H4" s="53"/>
      <c r="I4" s="53"/>
    </row>
    <row r="5" spans="1:9" s="54" customFormat="1" x14ac:dyDescent="0.25">
      <c r="A5" s="4" t="s">
        <v>23</v>
      </c>
      <c r="B5" s="42" t="s">
        <v>506</v>
      </c>
      <c r="C5" s="53"/>
      <c r="D5" s="53"/>
      <c r="E5" s="53"/>
      <c r="F5" s="53"/>
      <c r="G5" s="53"/>
      <c r="H5" s="53"/>
      <c r="I5" s="53"/>
    </row>
    <row r="6" spans="1:9" s="54" customFormat="1" x14ac:dyDescent="0.25">
      <c r="A6" s="4" t="s">
        <v>23</v>
      </c>
      <c r="B6" s="42" t="s">
        <v>507</v>
      </c>
      <c r="C6" s="52" t="s">
        <v>509</v>
      </c>
      <c r="D6" s="53"/>
      <c r="E6" s="53"/>
      <c r="F6" s="53"/>
      <c r="G6" s="53"/>
      <c r="H6" s="53"/>
      <c r="I6" s="53"/>
    </row>
    <row r="7" spans="1:9" s="54" customFormat="1" x14ac:dyDescent="0.25">
      <c r="A7" s="4" t="s">
        <v>23</v>
      </c>
      <c r="B7" s="42" t="s">
        <v>508</v>
      </c>
      <c r="C7" s="52" t="s">
        <v>510</v>
      </c>
      <c r="D7" s="53"/>
      <c r="E7" s="53"/>
      <c r="F7" s="53"/>
      <c r="G7" s="53"/>
      <c r="H7" s="53"/>
      <c r="I7" s="53"/>
    </row>
  </sheetData>
  <sheetProtection selectLockedCells="1"/>
  <autoFilter ref="A1:H7"/>
  <dataConsolidate/>
  <dataValidations count="1">
    <dataValidation type="list" showErrorMessage="1" errorTitle="!!Field Selection Invalid!!" error="Only Fields to be selected are 'Have' &amp; 'Don't Have'" sqref="A2:A7">
      <formula1>"Have, Don't Have"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workbookViewId="0">
      <pane xSplit="3" ySplit="1" topLeftCell="D2" activePane="bottomRight" state="frozen"/>
      <selection activeCell="F15" sqref="F15"/>
      <selection pane="topRight" activeCell="F15" sqref="F15"/>
      <selection pane="bottomLeft" activeCell="F15" sqref="F15"/>
      <selection pane="bottomRight" activeCell="D17" sqref="D17"/>
    </sheetView>
  </sheetViews>
  <sheetFormatPr defaultRowHeight="15" x14ac:dyDescent="0.25"/>
  <cols>
    <col min="1" max="1" width="10.140625" customWidth="1"/>
    <col min="2" max="2" width="15.7109375" customWidth="1"/>
    <col min="3" max="3" width="23.7109375" customWidth="1"/>
    <col min="4" max="13" width="20.140625" customWidth="1"/>
  </cols>
  <sheetData>
    <row r="1" spans="1:13" x14ac:dyDescent="0.25">
      <c r="A1" s="8" t="s">
        <v>0</v>
      </c>
      <c r="B1" s="9" t="s">
        <v>22</v>
      </c>
      <c r="C1" s="8" t="s">
        <v>1</v>
      </c>
      <c r="D1" s="32" t="s">
        <v>135</v>
      </c>
      <c r="E1" s="8" t="s">
        <v>136</v>
      </c>
      <c r="F1" s="8" t="s">
        <v>137</v>
      </c>
      <c r="G1" s="8" t="s">
        <v>138</v>
      </c>
      <c r="H1" s="8" t="s">
        <v>139</v>
      </c>
      <c r="I1" s="8" t="s">
        <v>140</v>
      </c>
      <c r="J1" s="8" t="s">
        <v>141</v>
      </c>
      <c r="K1" s="8" t="s">
        <v>142</v>
      </c>
      <c r="L1" s="8" t="s">
        <v>143</v>
      </c>
      <c r="M1" s="8" t="s">
        <v>144</v>
      </c>
    </row>
    <row r="2" spans="1:13" x14ac:dyDescent="0.25">
      <c r="A2" s="4" t="s">
        <v>8</v>
      </c>
      <c r="B2" s="16" t="s">
        <v>23</v>
      </c>
      <c r="C2" s="2" t="s">
        <v>2</v>
      </c>
      <c r="D2" s="33" t="s">
        <v>8</v>
      </c>
      <c r="E2" s="11" t="s">
        <v>8</v>
      </c>
      <c r="F2" s="33" t="s">
        <v>8</v>
      </c>
      <c r="G2" s="11" t="s">
        <v>8</v>
      </c>
      <c r="H2" s="33" t="s">
        <v>8</v>
      </c>
      <c r="I2" s="11" t="s">
        <v>8</v>
      </c>
      <c r="J2" s="33" t="s">
        <v>8</v>
      </c>
      <c r="K2" s="11" t="s">
        <v>8</v>
      </c>
      <c r="L2" s="33" t="s">
        <v>8</v>
      </c>
      <c r="M2" s="11" t="s">
        <v>8</v>
      </c>
    </row>
    <row r="3" spans="1:13" s="48" customFormat="1" x14ac:dyDescent="0.25">
      <c r="A3" s="4" t="s">
        <v>8</v>
      </c>
      <c r="B3" s="16" t="s">
        <v>23</v>
      </c>
      <c r="C3" s="2" t="s">
        <v>113</v>
      </c>
      <c r="D3" s="47" t="s">
        <v>201</v>
      </c>
      <c r="E3" s="47" t="s">
        <v>201</v>
      </c>
      <c r="F3" s="47" t="s">
        <v>201</v>
      </c>
      <c r="G3" s="47" t="s">
        <v>201</v>
      </c>
      <c r="H3" s="47" t="s">
        <v>201</v>
      </c>
      <c r="I3" s="47" t="s">
        <v>201</v>
      </c>
      <c r="J3" s="47" t="s">
        <v>201</v>
      </c>
      <c r="K3" s="47" t="s">
        <v>201</v>
      </c>
      <c r="L3" s="47" t="s">
        <v>201</v>
      </c>
      <c r="M3" s="47" t="s">
        <v>201</v>
      </c>
    </row>
    <row r="4" spans="1:13" x14ac:dyDescent="0.25">
      <c r="A4" s="4" t="s">
        <v>8</v>
      </c>
      <c r="B4" s="16" t="s">
        <v>23</v>
      </c>
      <c r="C4" s="2" t="s">
        <v>114</v>
      </c>
      <c r="D4" s="33" t="s">
        <v>145</v>
      </c>
      <c r="E4" s="11" t="s">
        <v>146</v>
      </c>
      <c r="F4" s="33" t="s">
        <v>130</v>
      </c>
      <c r="G4" s="11" t="s">
        <v>147</v>
      </c>
      <c r="H4" s="33" t="s">
        <v>148</v>
      </c>
      <c r="I4" s="11" t="s">
        <v>149</v>
      </c>
      <c r="J4" s="33" t="s">
        <v>150</v>
      </c>
      <c r="K4" s="11" t="s">
        <v>151</v>
      </c>
      <c r="L4" s="33" t="s">
        <v>152</v>
      </c>
      <c r="M4" s="11" t="s">
        <v>153</v>
      </c>
    </row>
    <row r="5" spans="1:13" x14ac:dyDescent="0.25">
      <c r="A5" s="4" t="s">
        <v>8</v>
      </c>
      <c r="B5" s="16" t="s">
        <v>23</v>
      </c>
      <c r="C5" s="2" t="s">
        <v>115</v>
      </c>
      <c r="D5" s="31" t="s">
        <v>273</v>
      </c>
      <c r="E5" s="13" t="s">
        <v>278</v>
      </c>
      <c r="F5" s="31" t="s">
        <v>273</v>
      </c>
      <c r="G5" s="13" t="s">
        <v>273</v>
      </c>
      <c r="H5" s="31" t="s">
        <v>274</v>
      </c>
      <c r="I5" s="13" t="s">
        <v>279</v>
      </c>
      <c r="J5" s="31" t="s">
        <v>275</v>
      </c>
      <c r="K5" s="13" t="s">
        <v>277</v>
      </c>
      <c r="L5" s="31" t="s">
        <v>276</v>
      </c>
      <c r="M5" s="13" t="s">
        <v>280</v>
      </c>
    </row>
    <row r="6" spans="1:13" x14ac:dyDescent="0.25">
      <c r="A6" s="6" t="s">
        <v>8</v>
      </c>
      <c r="B6" s="16" t="s">
        <v>24</v>
      </c>
      <c r="C6" s="2" t="s">
        <v>116</v>
      </c>
      <c r="D6" s="33" t="s">
        <v>28</v>
      </c>
      <c r="E6" s="11" t="s">
        <v>28</v>
      </c>
      <c r="F6" s="33" t="s">
        <v>28</v>
      </c>
      <c r="G6" s="11" t="s">
        <v>28</v>
      </c>
      <c r="H6" s="33" t="s">
        <v>28</v>
      </c>
      <c r="I6" s="11" t="s">
        <v>28</v>
      </c>
      <c r="J6" s="33" t="s">
        <v>28</v>
      </c>
      <c r="K6" s="11" t="s">
        <v>28</v>
      </c>
      <c r="L6" s="33" t="s">
        <v>28</v>
      </c>
      <c r="M6" s="11" t="s">
        <v>28</v>
      </c>
    </row>
    <row r="7" spans="1:13" x14ac:dyDescent="0.25">
      <c r="A7" s="6" t="s">
        <v>8</v>
      </c>
      <c r="B7" s="16" t="s">
        <v>23</v>
      </c>
      <c r="C7" s="2" t="s">
        <v>117</v>
      </c>
      <c r="D7" s="33" t="s">
        <v>29</v>
      </c>
      <c r="E7" s="11" t="s">
        <v>29</v>
      </c>
      <c r="F7" s="33" t="s">
        <v>29</v>
      </c>
      <c r="G7" s="11" t="s">
        <v>29</v>
      </c>
      <c r="H7" s="33" t="s">
        <v>29</v>
      </c>
      <c r="I7" s="11" t="s">
        <v>29</v>
      </c>
      <c r="J7" s="33" t="s">
        <v>29</v>
      </c>
      <c r="K7" s="11" t="s">
        <v>29</v>
      </c>
      <c r="L7" s="33" t="s">
        <v>29</v>
      </c>
      <c r="M7" s="11" t="s">
        <v>29</v>
      </c>
    </row>
    <row r="8" spans="1:13" x14ac:dyDescent="0.25">
      <c r="A8" s="5" t="s">
        <v>8</v>
      </c>
      <c r="B8" s="16" t="s">
        <v>23</v>
      </c>
      <c r="C8" s="2" t="s">
        <v>118</v>
      </c>
      <c r="D8" s="33"/>
      <c r="E8" s="11" t="s">
        <v>131</v>
      </c>
      <c r="F8" s="33"/>
      <c r="G8" s="11"/>
      <c r="H8" s="33"/>
      <c r="I8" s="11"/>
      <c r="J8" s="33"/>
      <c r="K8" s="11"/>
      <c r="L8" s="33"/>
      <c r="M8" s="11"/>
    </row>
    <row r="9" spans="1:13" x14ac:dyDescent="0.25">
      <c r="A9" s="5" t="s">
        <v>8</v>
      </c>
      <c r="B9" s="16" t="s">
        <v>23</v>
      </c>
      <c r="C9" s="2" t="s">
        <v>119</v>
      </c>
      <c r="D9" s="33"/>
      <c r="E9" s="11"/>
      <c r="F9" s="33"/>
      <c r="G9" s="11"/>
      <c r="H9" s="33" t="s">
        <v>271</v>
      </c>
      <c r="I9" s="11" t="s">
        <v>270</v>
      </c>
      <c r="J9" s="33"/>
      <c r="K9" s="11"/>
      <c r="L9" s="33"/>
      <c r="M9" s="11"/>
    </row>
    <row r="10" spans="1:13" x14ac:dyDescent="0.25">
      <c r="A10" s="4" t="s">
        <v>8</v>
      </c>
      <c r="B10" s="16" t="s">
        <v>23</v>
      </c>
      <c r="C10" s="2" t="s">
        <v>120</v>
      </c>
      <c r="D10" s="33"/>
      <c r="E10" s="11"/>
      <c r="F10" s="33"/>
      <c r="G10" s="11"/>
      <c r="H10" s="33"/>
      <c r="I10" s="11" t="s">
        <v>132</v>
      </c>
      <c r="J10" s="33"/>
      <c r="K10" s="11"/>
      <c r="L10" s="33"/>
      <c r="M10" s="11"/>
    </row>
    <row r="11" spans="1:13" x14ac:dyDescent="0.25">
      <c r="A11" s="5" t="s">
        <v>8</v>
      </c>
      <c r="B11" s="16" t="s">
        <v>23</v>
      </c>
      <c r="C11" s="2" t="s">
        <v>121</v>
      </c>
      <c r="D11" s="31" t="s">
        <v>282</v>
      </c>
      <c r="E11" s="13" t="s">
        <v>283</v>
      </c>
      <c r="F11" s="33" t="s">
        <v>284</v>
      </c>
      <c r="G11" s="13" t="s">
        <v>285</v>
      </c>
      <c r="H11" s="33" t="s">
        <v>286</v>
      </c>
      <c r="I11" s="13" t="s">
        <v>287</v>
      </c>
      <c r="J11" s="33" t="s">
        <v>288</v>
      </c>
      <c r="K11" s="13" t="s">
        <v>289</v>
      </c>
      <c r="L11" s="33" t="s">
        <v>281</v>
      </c>
      <c r="M11" s="13" t="s">
        <v>290</v>
      </c>
    </row>
    <row r="12" spans="1:13" x14ac:dyDescent="0.25">
      <c r="A12" s="5" t="s">
        <v>8</v>
      </c>
      <c r="B12" s="16" t="s">
        <v>23</v>
      </c>
      <c r="C12" s="2" t="s">
        <v>122</v>
      </c>
      <c r="D12" s="31"/>
      <c r="E12" s="13"/>
      <c r="F12" s="33"/>
      <c r="G12" s="13"/>
      <c r="H12" s="33"/>
      <c r="I12" s="13"/>
      <c r="J12" s="33"/>
      <c r="K12" s="13" t="s">
        <v>291</v>
      </c>
      <c r="L12" s="33"/>
      <c r="M12" s="13"/>
    </row>
    <row r="13" spans="1:13" x14ac:dyDescent="0.25">
      <c r="A13" s="4" t="s">
        <v>8</v>
      </c>
      <c r="B13" s="16" t="s">
        <v>23</v>
      </c>
      <c r="C13" s="2" t="s">
        <v>123</v>
      </c>
      <c r="D13" s="31" t="s">
        <v>30</v>
      </c>
      <c r="E13" s="13" t="s">
        <v>133</v>
      </c>
      <c r="F13" s="33" t="s">
        <v>272</v>
      </c>
      <c r="G13" s="13" t="s">
        <v>133</v>
      </c>
      <c r="H13" s="33" t="s">
        <v>30</v>
      </c>
      <c r="I13" s="13" t="s">
        <v>133</v>
      </c>
      <c r="J13" s="33" t="s">
        <v>30</v>
      </c>
      <c r="K13" s="13" t="s">
        <v>272</v>
      </c>
      <c r="L13" s="33" t="s">
        <v>133</v>
      </c>
      <c r="M13" s="13" t="s">
        <v>30</v>
      </c>
    </row>
    <row r="14" spans="1:13" x14ac:dyDescent="0.25">
      <c r="A14" s="4" t="s">
        <v>8</v>
      </c>
      <c r="B14" s="16" t="s">
        <v>23</v>
      </c>
      <c r="C14" s="2" t="s">
        <v>124</v>
      </c>
      <c r="D14" s="31" t="s">
        <v>133</v>
      </c>
      <c r="E14" s="13" t="s">
        <v>30</v>
      </c>
      <c r="F14" s="33" t="s">
        <v>272</v>
      </c>
      <c r="G14" s="13" t="s">
        <v>30</v>
      </c>
      <c r="H14" s="33" t="s">
        <v>133</v>
      </c>
      <c r="I14" s="13" t="s">
        <v>133</v>
      </c>
      <c r="J14" s="33" t="s">
        <v>30</v>
      </c>
      <c r="K14" s="13" t="s">
        <v>133</v>
      </c>
      <c r="L14" s="33" t="s">
        <v>272</v>
      </c>
      <c r="M14" s="13" t="s">
        <v>30</v>
      </c>
    </row>
    <row r="15" spans="1:13" x14ac:dyDescent="0.25">
      <c r="A15" s="4" t="s">
        <v>8</v>
      </c>
      <c r="B15" s="16" t="s">
        <v>23</v>
      </c>
      <c r="C15" s="2" t="s">
        <v>125</v>
      </c>
      <c r="D15" s="33" t="s">
        <v>298</v>
      </c>
      <c r="E15" s="11" t="s">
        <v>299</v>
      </c>
      <c r="F15" s="33" t="s">
        <v>300</v>
      </c>
      <c r="G15" s="11" t="s">
        <v>301</v>
      </c>
      <c r="H15" s="33" t="s">
        <v>302</v>
      </c>
      <c r="I15" s="11" t="s">
        <v>303</v>
      </c>
      <c r="J15" s="33" t="s">
        <v>304</v>
      </c>
      <c r="K15" s="11" t="s">
        <v>305</v>
      </c>
      <c r="L15" s="33" t="s">
        <v>306</v>
      </c>
      <c r="M15" s="11" t="s">
        <v>307</v>
      </c>
    </row>
    <row r="16" spans="1:13" x14ac:dyDescent="0.25">
      <c r="A16" s="4" t="s">
        <v>8</v>
      </c>
      <c r="B16" s="16" t="s">
        <v>23</v>
      </c>
      <c r="C16" s="2" t="s">
        <v>42</v>
      </c>
      <c r="D16" s="31" t="s">
        <v>133</v>
      </c>
      <c r="E16" s="13" t="s">
        <v>30</v>
      </c>
      <c r="F16" s="33" t="s">
        <v>30</v>
      </c>
      <c r="G16" s="13" t="s">
        <v>133</v>
      </c>
      <c r="H16" s="33" t="s">
        <v>272</v>
      </c>
      <c r="I16" s="13" t="s">
        <v>30</v>
      </c>
      <c r="J16" s="33" t="s">
        <v>133</v>
      </c>
      <c r="K16" s="13" t="s">
        <v>133</v>
      </c>
      <c r="L16" s="33" t="s">
        <v>272</v>
      </c>
      <c r="M16" s="13" t="s">
        <v>30</v>
      </c>
    </row>
    <row r="17" spans="1:13" x14ac:dyDescent="0.25">
      <c r="A17" s="5" t="s">
        <v>8</v>
      </c>
      <c r="B17" s="16" t="s">
        <v>23</v>
      </c>
      <c r="C17" s="2" t="s">
        <v>43</v>
      </c>
      <c r="D17" s="31"/>
      <c r="E17" s="13" t="s">
        <v>308</v>
      </c>
      <c r="F17" s="33" t="s">
        <v>309</v>
      </c>
      <c r="G17" s="13"/>
      <c r="H17" s="33"/>
      <c r="I17" s="13" t="s">
        <v>308</v>
      </c>
      <c r="J17" s="33"/>
      <c r="K17" s="13"/>
      <c r="L17" s="33"/>
      <c r="M17" s="13" t="s">
        <v>348</v>
      </c>
    </row>
    <row r="18" spans="1:13" x14ac:dyDescent="0.25">
      <c r="A18" s="4" t="s">
        <v>8</v>
      </c>
      <c r="B18" s="16" t="s">
        <v>23</v>
      </c>
      <c r="C18" s="2" t="s">
        <v>126</v>
      </c>
      <c r="D18" s="34">
        <v>5</v>
      </c>
      <c r="E18" s="12">
        <v>9</v>
      </c>
      <c r="F18" s="34">
        <v>7</v>
      </c>
      <c r="G18" s="12">
        <v>4</v>
      </c>
      <c r="H18" s="34">
        <v>2</v>
      </c>
      <c r="I18" s="12">
        <v>8</v>
      </c>
      <c r="J18" s="34">
        <v>1</v>
      </c>
      <c r="K18" s="12">
        <v>5</v>
      </c>
      <c r="L18" s="34">
        <v>3</v>
      </c>
      <c r="M18" s="12">
        <v>6</v>
      </c>
    </row>
    <row r="19" spans="1:13" x14ac:dyDescent="0.25">
      <c r="A19" s="4" t="s">
        <v>8</v>
      </c>
      <c r="B19" s="16" t="s">
        <v>23</v>
      </c>
      <c r="C19" s="2" t="s">
        <v>127</v>
      </c>
      <c r="D19" s="31" t="s">
        <v>30</v>
      </c>
      <c r="E19" s="13" t="s">
        <v>133</v>
      </c>
      <c r="F19" s="33" t="s">
        <v>272</v>
      </c>
      <c r="G19" s="13" t="s">
        <v>133</v>
      </c>
      <c r="H19" s="33" t="s">
        <v>30</v>
      </c>
      <c r="I19" s="13" t="s">
        <v>30</v>
      </c>
      <c r="J19" s="33" t="s">
        <v>272</v>
      </c>
      <c r="K19" s="13" t="s">
        <v>30</v>
      </c>
      <c r="L19" s="33" t="s">
        <v>30</v>
      </c>
      <c r="M19" s="13" t="s">
        <v>133</v>
      </c>
    </row>
    <row r="20" spans="1:13" x14ac:dyDescent="0.25">
      <c r="A20" s="4" t="s">
        <v>8</v>
      </c>
      <c r="B20" s="16" t="s">
        <v>23</v>
      </c>
      <c r="C20" s="2" t="s">
        <v>128</v>
      </c>
      <c r="D20" s="31" t="s">
        <v>133</v>
      </c>
      <c r="E20" s="13" t="s">
        <v>30</v>
      </c>
      <c r="F20" s="33" t="s">
        <v>30</v>
      </c>
      <c r="G20" s="13" t="s">
        <v>272</v>
      </c>
      <c r="H20" s="33" t="s">
        <v>133</v>
      </c>
      <c r="I20" s="13" t="s">
        <v>30</v>
      </c>
      <c r="J20" s="33" t="s">
        <v>30</v>
      </c>
      <c r="K20" s="13" t="s">
        <v>30</v>
      </c>
      <c r="L20" s="33" t="s">
        <v>30</v>
      </c>
      <c r="M20" s="13" t="s">
        <v>30</v>
      </c>
    </row>
    <row r="21" spans="1:13" x14ac:dyDescent="0.25">
      <c r="A21" s="5" t="s">
        <v>8</v>
      </c>
      <c r="B21" s="16" t="s">
        <v>24</v>
      </c>
      <c r="C21" s="2" t="s">
        <v>129</v>
      </c>
      <c r="D21" s="31"/>
      <c r="E21" s="13" t="s">
        <v>134</v>
      </c>
      <c r="F21" s="31" t="s">
        <v>292</v>
      </c>
      <c r="G21" s="13"/>
      <c r="H21" s="31"/>
      <c r="I21" s="13" t="s">
        <v>293</v>
      </c>
      <c r="J21" s="31" t="s">
        <v>294</v>
      </c>
      <c r="K21" s="13" t="s">
        <v>295</v>
      </c>
      <c r="L21" s="31" t="s">
        <v>296</v>
      </c>
      <c r="M21" s="13" t="s">
        <v>297</v>
      </c>
    </row>
    <row r="22" spans="1:13" x14ac:dyDescent="0.25">
      <c r="A22" s="4" t="s">
        <v>20</v>
      </c>
      <c r="B22" s="16" t="s">
        <v>23</v>
      </c>
      <c r="C22" s="2" t="s">
        <v>2</v>
      </c>
      <c r="D22" s="33" t="s">
        <v>20</v>
      </c>
      <c r="E22" s="11" t="s">
        <v>20</v>
      </c>
      <c r="F22" s="33" t="s">
        <v>20</v>
      </c>
      <c r="G22" s="11" t="s">
        <v>20</v>
      </c>
      <c r="H22" s="33" t="s">
        <v>20</v>
      </c>
      <c r="I22" s="11" t="s">
        <v>20</v>
      </c>
      <c r="J22" s="33" t="s">
        <v>20</v>
      </c>
      <c r="K22" s="11" t="s">
        <v>20</v>
      </c>
      <c r="L22" s="33" t="s">
        <v>20</v>
      </c>
      <c r="M22" s="11" t="s">
        <v>20</v>
      </c>
    </row>
    <row r="23" spans="1:13" x14ac:dyDescent="0.25">
      <c r="A23" s="4" t="s">
        <v>20</v>
      </c>
      <c r="B23" s="16" t="s">
        <v>23</v>
      </c>
      <c r="C23" s="2" t="s">
        <v>19</v>
      </c>
      <c r="D23" s="31" t="s">
        <v>33</v>
      </c>
      <c r="E23" s="13" t="s">
        <v>33</v>
      </c>
      <c r="F23" s="33" t="s">
        <v>33</v>
      </c>
      <c r="G23" s="13" t="s">
        <v>33</v>
      </c>
      <c r="H23" s="33" t="s">
        <v>33</v>
      </c>
      <c r="I23" s="13" t="s">
        <v>33</v>
      </c>
      <c r="J23" s="33" t="s">
        <v>33</v>
      </c>
      <c r="K23" s="13" t="s">
        <v>33</v>
      </c>
      <c r="L23" s="33" t="s">
        <v>33</v>
      </c>
      <c r="M23" s="13" t="s">
        <v>33</v>
      </c>
    </row>
  </sheetData>
  <dataValidations count="7">
    <dataValidation type="list" allowBlank="1" showInputMessage="1" showErrorMessage="1" sqref="D9:M9">
      <formula1>"D04, D05, D06, D13"</formula1>
    </dataValidation>
    <dataValidation type="list" allowBlank="1" showInputMessage="1" showErrorMessage="1" sqref="D8:M8">
      <formula1>"PNP1, PNP2, PNP3, PNP4, PNP5, PNP6, PNP7, PNP8, PNP9, PNP10, PNP11, PNP12, PNP13, PNP14, PNP15, PNP16"</formula1>
    </dataValidation>
    <dataValidation type="list" showErrorMessage="1" errorTitle="!!Field Selection Invalid!!" error="Only Fields to be selected are 'Have' &amp; 'Don't Have'" sqref="B2:B23">
      <formula1>"Have, Don't Have"</formula1>
    </dataValidation>
    <dataValidation type="list" allowBlank="1" showInputMessage="1" showErrorMessage="1" sqref="D4:M4">
      <formula1>"CNA, PNP, RETVD, SENT, INTAKEREJ, CODINGREJ, PNPRELEASE, CANCELED, RELEASED, SCHEDULED"</formula1>
    </dataValidation>
    <dataValidation type="list" allowBlank="1" showInputMessage="1" showErrorMessage="1" sqref="D10:M10">
      <formula1>"IMGNX"</formula1>
    </dataValidation>
    <dataValidation type="list" allowBlank="1" showInputMessage="1" showErrorMessage="1" sqref="D13:M14 D16:M16 D19:M20">
      <formula1>"Y, N, U"</formula1>
    </dataValidation>
    <dataValidation type="list" allowBlank="1" showInputMessage="1" showErrorMessage="1" sqref="D18:M18">
      <formula1>"1, 2, 3, 4, 5, 6, 7, 8, 9, U"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55"/>
  <sheetViews>
    <sheetView workbookViewId="0">
      <pane xSplit="2" ySplit="1" topLeftCell="C8" activePane="bottomRight" state="frozen"/>
      <selection activeCell="F15" sqref="F15"/>
      <selection pane="topRight" activeCell="F15" sqref="F15"/>
      <selection pane="bottomLeft" activeCell="F15" sqref="F15"/>
      <selection pane="bottomRight" activeCell="F15" sqref="F15"/>
    </sheetView>
  </sheetViews>
  <sheetFormatPr defaultRowHeight="15" x14ac:dyDescent="0.25"/>
  <cols>
    <col min="1" max="1" width="15.7109375" customWidth="1"/>
    <col min="2" max="3" width="32.7109375" customWidth="1"/>
    <col min="4" max="11" width="12.140625" bestFit="1" customWidth="1"/>
    <col min="12" max="12" width="13.28515625" bestFit="1" customWidth="1"/>
    <col min="13" max="17" width="13.42578125" customWidth="1"/>
  </cols>
  <sheetData>
    <row r="1" spans="1:17" s="48" customFormat="1" x14ac:dyDescent="0.25">
      <c r="A1" s="9" t="s">
        <v>22</v>
      </c>
      <c r="B1" s="8" t="s">
        <v>1</v>
      </c>
      <c r="C1" s="8" t="s">
        <v>21</v>
      </c>
      <c r="D1" s="8" t="s">
        <v>219</v>
      </c>
      <c r="E1" s="8" t="s">
        <v>220</v>
      </c>
      <c r="F1" s="8" t="s">
        <v>221</v>
      </c>
      <c r="G1" s="8" t="s">
        <v>222</v>
      </c>
      <c r="H1" s="8" t="s">
        <v>223</v>
      </c>
      <c r="I1" s="8" t="s">
        <v>224</v>
      </c>
      <c r="J1" s="8" t="s">
        <v>225</v>
      </c>
      <c r="K1" s="8" t="s">
        <v>228</v>
      </c>
      <c r="L1" s="8" t="s">
        <v>229</v>
      </c>
      <c r="M1" s="8" t="s">
        <v>257</v>
      </c>
      <c r="N1" s="8" t="s">
        <v>258</v>
      </c>
      <c r="O1" s="8" t="s">
        <v>259</v>
      </c>
      <c r="P1" s="8" t="s">
        <v>260</v>
      </c>
      <c r="Q1" s="8" t="s">
        <v>261</v>
      </c>
    </row>
    <row r="2" spans="1:17" x14ac:dyDescent="0.25">
      <c r="A2" s="4" t="s">
        <v>23</v>
      </c>
      <c r="B2" s="42" t="s">
        <v>158</v>
      </c>
      <c r="C2" s="15" t="s">
        <v>189</v>
      </c>
    </row>
    <row r="3" spans="1:17" x14ac:dyDescent="0.25">
      <c r="A3" s="6" t="s">
        <v>23</v>
      </c>
      <c r="B3" s="42" t="s">
        <v>4</v>
      </c>
      <c r="C3" s="13" t="s">
        <v>197</v>
      </c>
    </row>
    <row r="4" spans="1:17" x14ac:dyDescent="0.25">
      <c r="A4" s="6" t="s">
        <v>23</v>
      </c>
      <c r="B4" s="42" t="s">
        <v>159</v>
      </c>
      <c r="C4" s="13" t="s">
        <v>198</v>
      </c>
    </row>
    <row r="5" spans="1:17" x14ac:dyDescent="0.25">
      <c r="A5" s="4" t="s">
        <v>23</v>
      </c>
      <c r="B5" s="42" t="s">
        <v>160</v>
      </c>
      <c r="C5" s="13" t="s">
        <v>232</v>
      </c>
    </row>
    <row r="6" spans="1:17" x14ac:dyDescent="0.25">
      <c r="A6" s="4" t="s">
        <v>23</v>
      </c>
      <c r="B6" s="42" t="s">
        <v>46</v>
      </c>
      <c r="C6" s="47" t="s">
        <v>201</v>
      </c>
    </row>
    <row r="7" spans="1:17" x14ac:dyDescent="0.25">
      <c r="A7" s="4" t="s">
        <v>23</v>
      </c>
      <c r="B7" s="42" t="s">
        <v>3</v>
      </c>
      <c r="C7" s="13" t="s">
        <v>3</v>
      </c>
    </row>
    <row r="8" spans="1:17" x14ac:dyDescent="0.25">
      <c r="A8" s="4" t="s">
        <v>23</v>
      </c>
      <c r="B8" s="37" t="s">
        <v>158</v>
      </c>
      <c r="C8" s="15" t="s">
        <v>190</v>
      </c>
    </row>
    <row r="9" spans="1:17" x14ac:dyDescent="0.25">
      <c r="A9" s="4" t="s">
        <v>23</v>
      </c>
      <c r="B9" s="37" t="s">
        <v>113</v>
      </c>
      <c r="C9" s="47" t="s">
        <v>201</v>
      </c>
    </row>
    <row r="10" spans="1:17" x14ac:dyDescent="0.25">
      <c r="A10" s="4" t="s">
        <v>23</v>
      </c>
      <c r="B10" s="37" t="s">
        <v>46</v>
      </c>
      <c r="C10" s="47" t="s">
        <v>201</v>
      </c>
    </row>
    <row r="11" spans="1:17" x14ac:dyDescent="0.25">
      <c r="A11" s="6" t="s">
        <v>23</v>
      </c>
      <c r="B11" s="37" t="s">
        <v>120</v>
      </c>
      <c r="C11" s="13"/>
    </row>
    <row r="12" spans="1:17" x14ac:dyDescent="0.25">
      <c r="A12" s="4" t="s">
        <v>23</v>
      </c>
      <c r="B12" s="40" t="s">
        <v>158</v>
      </c>
      <c r="C12" s="15" t="s">
        <v>191</v>
      </c>
      <c r="D12" s="15" t="s">
        <v>191</v>
      </c>
      <c r="E12" s="15" t="s">
        <v>191</v>
      </c>
      <c r="F12" s="15" t="s">
        <v>191</v>
      </c>
      <c r="G12" s="15" t="s">
        <v>191</v>
      </c>
      <c r="H12" s="15" t="s">
        <v>191</v>
      </c>
      <c r="I12" s="15" t="s">
        <v>191</v>
      </c>
      <c r="J12" s="15" t="s">
        <v>191</v>
      </c>
      <c r="K12" s="15" t="s">
        <v>191</v>
      </c>
      <c r="L12" s="15" t="s">
        <v>191</v>
      </c>
      <c r="M12" s="15" t="s">
        <v>191</v>
      </c>
      <c r="N12" s="15" t="s">
        <v>191</v>
      </c>
      <c r="O12" s="15" t="s">
        <v>191</v>
      </c>
      <c r="P12" s="15" t="s">
        <v>191</v>
      </c>
      <c r="Q12" s="15" t="s">
        <v>191</v>
      </c>
    </row>
    <row r="13" spans="1:17" x14ac:dyDescent="0.25">
      <c r="A13" s="4" t="s">
        <v>23</v>
      </c>
      <c r="B13" s="40" t="s">
        <v>113</v>
      </c>
      <c r="C13" s="47" t="s">
        <v>201</v>
      </c>
    </row>
    <row r="14" spans="1:17" x14ac:dyDescent="0.25">
      <c r="A14" s="4" t="s">
        <v>23</v>
      </c>
      <c r="B14" s="40" t="s">
        <v>161</v>
      </c>
      <c r="C14" s="26" t="s">
        <v>342</v>
      </c>
      <c r="D14" s="26" t="s">
        <v>341</v>
      </c>
      <c r="E14" s="26" t="s">
        <v>316</v>
      </c>
      <c r="F14" s="26" t="s">
        <v>350</v>
      </c>
      <c r="G14" s="26" t="s">
        <v>343</v>
      </c>
      <c r="H14" s="26" t="s">
        <v>344</v>
      </c>
      <c r="I14" s="26" t="s">
        <v>345</v>
      </c>
      <c r="J14" s="26" t="s">
        <v>280</v>
      </c>
      <c r="K14" s="26" t="s">
        <v>262</v>
      </c>
      <c r="L14" s="26" t="s">
        <v>230</v>
      </c>
      <c r="M14" s="26" t="s">
        <v>346</v>
      </c>
      <c r="N14" s="26" t="s">
        <v>235</v>
      </c>
      <c r="O14" s="26" t="s">
        <v>347</v>
      </c>
      <c r="P14" s="26" t="s">
        <v>236</v>
      </c>
      <c r="Q14" s="26" t="s">
        <v>314</v>
      </c>
    </row>
    <row r="15" spans="1:17" x14ac:dyDescent="0.25">
      <c r="A15" s="4" t="s">
        <v>23</v>
      </c>
      <c r="B15" s="40" t="s">
        <v>162</v>
      </c>
      <c r="C15" s="26" t="s">
        <v>342</v>
      </c>
      <c r="D15" s="26" t="s">
        <v>341</v>
      </c>
      <c r="E15" s="26" t="s">
        <v>316</v>
      </c>
      <c r="F15" s="26" t="s">
        <v>350</v>
      </c>
      <c r="G15" s="26" t="s">
        <v>343</v>
      </c>
      <c r="H15" s="26" t="s">
        <v>344</v>
      </c>
      <c r="I15" s="26" t="s">
        <v>345</v>
      </c>
      <c r="J15" s="26" t="s">
        <v>280</v>
      </c>
      <c r="K15" s="26" t="s">
        <v>262</v>
      </c>
      <c r="L15" s="26" t="s">
        <v>230</v>
      </c>
      <c r="M15" s="26" t="s">
        <v>346</v>
      </c>
      <c r="N15" s="26" t="s">
        <v>235</v>
      </c>
      <c r="O15" s="26" t="s">
        <v>347</v>
      </c>
      <c r="P15" s="26" t="s">
        <v>236</v>
      </c>
      <c r="Q15" s="26" t="s">
        <v>314</v>
      </c>
    </row>
    <row r="16" spans="1:17" x14ac:dyDescent="0.25">
      <c r="A16" s="4" t="s">
        <v>23</v>
      </c>
      <c r="B16" s="40" t="s">
        <v>163</v>
      </c>
      <c r="C16" s="13" t="s">
        <v>202</v>
      </c>
      <c r="D16" s="13" t="s">
        <v>202</v>
      </c>
      <c r="E16" s="13" t="s">
        <v>202</v>
      </c>
      <c r="F16" s="13" t="s">
        <v>202</v>
      </c>
      <c r="G16" s="13" t="s">
        <v>202</v>
      </c>
      <c r="H16" s="13" t="s">
        <v>202</v>
      </c>
      <c r="I16" s="13" t="s">
        <v>202</v>
      </c>
      <c r="J16" s="13" t="s">
        <v>202</v>
      </c>
      <c r="K16" s="13" t="s">
        <v>202</v>
      </c>
      <c r="L16" s="13" t="s">
        <v>202</v>
      </c>
      <c r="M16" s="13" t="s">
        <v>202</v>
      </c>
      <c r="N16" s="13" t="s">
        <v>202</v>
      </c>
      <c r="O16" s="13" t="s">
        <v>202</v>
      </c>
      <c r="P16" s="13" t="s">
        <v>202</v>
      </c>
      <c r="Q16" s="13" t="s">
        <v>202</v>
      </c>
    </row>
    <row r="17" spans="1:17" x14ac:dyDescent="0.25">
      <c r="A17" s="6" t="s">
        <v>23</v>
      </c>
      <c r="B17" s="40" t="s">
        <v>164</v>
      </c>
      <c r="C17" s="13"/>
      <c r="D17" s="13"/>
      <c r="E17" s="13" t="s">
        <v>311</v>
      </c>
      <c r="F17" s="13" t="s">
        <v>311</v>
      </c>
      <c r="G17" s="13"/>
      <c r="H17" s="13" t="s">
        <v>313</v>
      </c>
      <c r="I17" s="13" t="s">
        <v>311</v>
      </c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6" t="s">
        <v>23</v>
      </c>
      <c r="B18" s="40" t="s">
        <v>165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6" t="s">
        <v>23</v>
      </c>
      <c r="B19" s="40" t="s">
        <v>166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4" t="s">
        <v>23</v>
      </c>
      <c r="B20" s="40" t="s">
        <v>167</v>
      </c>
      <c r="C20" s="13" t="s">
        <v>203</v>
      </c>
      <c r="D20" s="13" t="s">
        <v>203</v>
      </c>
      <c r="E20" s="13" t="s">
        <v>203</v>
      </c>
      <c r="F20" s="13" t="s">
        <v>203</v>
      </c>
      <c r="G20" s="13" t="s">
        <v>203</v>
      </c>
      <c r="H20" s="13" t="s">
        <v>203</v>
      </c>
      <c r="I20" s="13" t="s">
        <v>203</v>
      </c>
      <c r="J20" s="13" t="s">
        <v>203</v>
      </c>
      <c r="K20" s="13" t="s">
        <v>203</v>
      </c>
      <c r="L20" s="13" t="s">
        <v>203</v>
      </c>
      <c r="M20" s="13" t="s">
        <v>237</v>
      </c>
      <c r="N20" s="13" t="s">
        <v>238</v>
      </c>
      <c r="O20" s="13" t="s">
        <v>239</v>
      </c>
      <c r="P20" s="13" t="s">
        <v>240</v>
      </c>
      <c r="Q20" s="13" t="s">
        <v>241</v>
      </c>
    </row>
    <row r="21" spans="1:17" x14ac:dyDescent="0.25">
      <c r="A21" s="4" t="s">
        <v>23</v>
      </c>
      <c r="B21" s="40" t="s">
        <v>168</v>
      </c>
      <c r="C21" s="13" t="s">
        <v>30</v>
      </c>
      <c r="D21" s="13" t="s">
        <v>133</v>
      </c>
      <c r="E21" s="13" t="s">
        <v>30</v>
      </c>
      <c r="F21" s="13" t="s">
        <v>30</v>
      </c>
      <c r="G21" s="13" t="s">
        <v>133</v>
      </c>
      <c r="H21" s="13" t="s">
        <v>133</v>
      </c>
      <c r="I21" s="13" t="s">
        <v>30</v>
      </c>
      <c r="J21" s="13" t="s">
        <v>133</v>
      </c>
      <c r="K21" s="13" t="s">
        <v>30</v>
      </c>
      <c r="L21" s="13" t="s">
        <v>133</v>
      </c>
      <c r="M21" s="13" t="s">
        <v>133</v>
      </c>
      <c r="N21" s="13" t="s">
        <v>133</v>
      </c>
      <c r="O21" s="13" t="s">
        <v>133</v>
      </c>
      <c r="P21" s="13" t="s">
        <v>133</v>
      </c>
      <c r="Q21" s="13" t="s">
        <v>133</v>
      </c>
    </row>
    <row r="22" spans="1:17" x14ac:dyDescent="0.25">
      <c r="A22" s="6" t="s">
        <v>23</v>
      </c>
      <c r="B22" s="40" t="s">
        <v>169</v>
      </c>
      <c r="C22" s="13" t="s">
        <v>204</v>
      </c>
      <c r="D22" s="13" t="s">
        <v>204</v>
      </c>
      <c r="E22" s="13"/>
      <c r="F22" s="13"/>
      <c r="G22" s="13"/>
      <c r="H22" s="13"/>
      <c r="I22" s="13"/>
      <c r="J22" s="13"/>
      <c r="K22" s="13" t="s">
        <v>204</v>
      </c>
      <c r="L22" s="13" t="s">
        <v>204</v>
      </c>
      <c r="M22" s="13" t="s">
        <v>204</v>
      </c>
      <c r="N22" s="13" t="s">
        <v>204</v>
      </c>
      <c r="O22" s="13"/>
      <c r="P22" s="13" t="s">
        <v>204</v>
      </c>
      <c r="Q22" s="13"/>
    </row>
    <row r="23" spans="1:17" ht="30" x14ac:dyDescent="0.25">
      <c r="A23" s="6" t="s">
        <v>23</v>
      </c>
      <c r="B23" s="40" t="s">
        <v>170</v>
      </c>
      <c r="C23" s="13" t="s">
        <v>205</v>
      </c>
      <c r="D23" s="13" t="s">
        <v>205</v>
      </c>
      <c r="E23" s="13"/>
      <c r="F23" s="13" t="s">
        <v>205</v>
      </c>
      <c r="G23" s="13"/>
      <c r="H23" s="13" t="s">
        <v>205</v>
      </c>
      <c r="I23" s="13" t="s">
        <v>205</v>
      </c>
      <c r="J23" s="13" t="s">
        <v>205</v>
      </c>
      <c r="K23" s="13"/>
      <c r="L23" s="13"/>
      <c r="M23" s="13" t="s">
        <v>319</v>
      </c>
      <c r="N23" s="13" t="s">
        <v>319</v>
      </c>
      <c r="O23" s="13"/>
      <c r="P23" s="13" t="s">
        <v>319</v>
      </c>
      <c r="Q23" s="13" t="s">
        <v>319</v>
      </c>
    </row>
    <row r="24" spans="1:17" x14ac:dyDescent="0.25">
      <c r="A24" s="6" t="s">
        <v>23</v>
      </c>
      <c r="B24" s="40" t="s">
        <v>171</v>
      </c>
      <c r="C24" s="13" t="s">
        <v>206</v>
      </c>
      <c r="D24" s="13" t="s">
        <v>206</v>
      </c>
      <c r="E24" s="13"/>
      <c r="F24" s="13" t="s">
        <v>206</v>
      </c>
      <c r="G24" s="13"/>
      <c r="H24" s="13" t="s">
        <v>206</v>
      </c>
      <c r="I24" s="13" t="s">
        <v>206</v>
      </c>
      <c r="J24" s="13" t="s">
        <v>206</v>
      </c>
      <c r="K24" s="13"/>
      <c r="L24" s="13"/>
      <c r="M24" s="13" t="s">
        <v>25</v>
      </c>
      <c r="N24" s="13" t="s">
        <v>242</v>
      </c>
      <c r="O24" s="13"/>
      <c r="P24" s="13" t="s">
        <v>243</v>
      </c>
      <c r="Q24" s="13" t="s">
        <v>244</v>
      </c>
    </row>
    <row r="25" spans="1:17" ht="30" x14ac:dyDescent="0.25">
      <c r="A25" s="6" t="s">
        <v>23</v>
      </c>
      <c r="B25" s="40" t="s">
        <v>172</v>
      </c>
      <c r="C25" s="13" t="s">
        <v>207</v>
      </c>
      <c r="D25" s="13" t="s">
        <v>207</v>
      </c>
      <c r="E25" s="13"/>
      <c r="F25" s="13" t="s">
        <v>207</v>
      </c>
      <c r="G25" s="13"/>
      <c r="H25" s="13" t="s">
        <v>207</v>
      </c>
      <c r="I25" s="13"/>
      <c r="J25" s="13" t="s">
        <v>207</v>
      </c>
      <c r="K25" s="13"/>
      <c r="L25" s="13"/>
      <c r="M25" s="13" t="s">
        <v>320</v>
      </c>
      <c r="N25" s="13" t="s">
        <v>320</v>
      </c>
      <c r="O25" s="13"/>
      <c r="P25" s="13" t="s">
        <v>320</v>
      </c>
      <c r="Q25" s="13" t="s">
        <v>320</v>
      </c>
    </row>
    <row r="26" spans="1:17" ht="30" x14ac:dyDescent="0.25">
      <c r="A26" s="6" t="s">
        <v>23</v>
      </c>
      <c r="B26" s="40" t="s">
        <v>173</v>
      </c>
      <c r="C26" s="13" t="s">
        <v>208</v>
      </c>
      <c r="D26" s="13" t="s">
        <v>208</v>
      </c>
      <c r="E26" s="13"/>
      <c r="F26" s="13" t="s">
        <v>208</v>
      </c>
      <c r="G26" s="13"/>
      <c r="H26" s="13" t="s">
        <v>208</v>
      </c>
      <c r="I26" s="13" t="s">
        <v>208</v>
      </c>
      <c r="J26" s="13"/>
      <c r="K26" s="13"/>
      <c r="L26" s="13"/>
      <c r="M26" s="13" t="s">
        <v>321</v>
      </c>
      <c r="N26" s="13" t="s">
        <v>321</v>
      </c>
      <c r="O26" s="13"/>
      <c r="P26" s="13"/>
      <c r="Q26" s="13" t="s">
        <v>321</v>
      </c>
    </row>
    <row r="27" spans="1:17" ht="30" x14ac:dyDescent="0.25">
      <c r="A27" s="6" t="s">
        <v>23</v>
      </c>
      <c r="B27" s="40" t="s">
        <v>174</v>
      </c>
      <c r="C27" s="13" t="s">
        <v>209</v>
      </c>
      <c r="D27" s="13" t="s">
        <v>209</v>
      </c>
      <c r="E27" s="13"/>
      <c r="F27" s="13" t="s">
        <v>209</v>
      </c>
      <c r="G27" s="13"/>
      <c r="H27" s="13" t="s">
        <v>209</v>
      </c>
      <c r="I27" s="13"/>
      <c r="J27" s="13" t="s">
        <v>209</v>
      </c>
      <c r="K27" s="13"/>
      <c r="L27" s="13"/>
      <c r="M27" s="13" t="s">
        <v>245</v>
      </c>
      <c r="N27" s="13" t="s">
        <v>246</v>
      </c>
      <c r="O27" s="13"/>
      <c r="P27" s="13"/>
      <c r="Q27" s="13" t="s">
        <v>252</v>
      </c>
    </row>
    <row r="28" spans="1:17" ht="30" x14ac:dyDescent="0.25">
      <c r="A28" s="6" t="s">
        <v>23</v>
      </c>
      <c r="B28" s="40" t="s">
        <v>175</v>
      </c>
      <c r="C28" s="13" t="s">
        <v>210</v>
      </c>
      <c r="D28" s="13" t="s">
        <v>210</v>
      </c>
      <c r="E28" s="13"/>
      <c r="F28" s="13" t="s">
        <v>210</v>
      </c>
      <c r="G28" s="13"/>
      <c r="H28" s="13" t="s">
        <v>210</v>
      </c>
      <c r="I28" s="13" t="s">
        <v>210</v>
      </c>
      <c r="J28" s="13" t="s">
        <v>210</v>
      </c>
      <c r="K28" s="13"/>
      <c r="L28" s="13"/>
      <c r="M28" s="13" t="s">
        <v>246</v>
      </c>
      <c r="N28" s="13" t="s">
        <v>251</v>
      </c>
      <c r="O28" s="13"/>
      <c r="P28" s="13"/>
      <c r="Q28" s="13" t="s">
        <v>253</v>
      </c>
    </row>
    <row r="29" spans="1:17" ht="30" x14ac:dyDescent="0.25">
      <c r="A29" s="6" t="s">
        <v>23</v>
      </c>
      <c r="B29" s="41" t="s">
        <v>176</v>
      </c>
      <c r="C29" s="13" t="s">
        <v>211</v>
      </c>
      <c r="D29" s="13" t="s">
        <v>211</v>
      </c>
      <c r="E29" s="13"/>
      <c r="F29" s="13" t="s">
        <v>211</v>
      </c>
      <c r="G29" s="13"/>
      <c r="H29" s="13" t="s">
        <v>211</v>
      </c>
      <c r="I29" s="13" t="s">
        <v>211</v>
      </c>
      <c r="J29" s="13" t="s">
        <v>211</v>
      </c>
      <c r="K29" s="13"/>
      <c r="L29" s="13"/>
      <c r="M29" s="13" t="s">
        <v>322</v>
      </c>
      <c r="N29" s="13" t="s">
        <v>322</v>
      </c>
      <c r="O29" s="13"/>
      <c r="P29" s="13" t="s">
        <v>322</v>
      </c>
      <c r="Q29" s="13" t="s">
        <v>323</v>
      </c>
    </row>
    <row r="30" spans="1:17" x14ac:dyDescent="0.25">
      <c r="A30" s="6" t="s">
        <v>23</v>
      </c>
      <c r="B30" s="40" t="s">
        <v>177</v>
      </c>
      <c r="C30" s="13" t="s">
        <v>44</v>
      </c>
      <c r="D30" s="13" t="s">
        <v>44</v>
      </c>
      <c r="E30" s="13"/>
      <c r="F30" s="13" t="s">
        <v>44</v>
      </c>
      <c r="G30" s="13"/>
      <c r="H30" s="13" t="s">
        <v>44</v>
      </c>
      <c r="I30" s="13" t="s">
        <v>44</v>
      </c>
      <c r="J30" s="13"/>
      <c r="K30" s="13"/>
      <c r="L30" s="13"/>
      <c r="M30" s="13" t="s">
        <v>44</v>
      </c>
      <c r="N30" s="13" t="s">
        <v>44</v>
      </c>
      <c r="O30" s="13"/>
      <c r="P30" s="13" t="s">
        <v>44</v>
      </c>
      <c r="Q30" s="13" t="s">
        <v>44</v>
      </c>
    </row>
    <row r="31" spans="1:17" x14ac:dyDescent="0.25">
      <c r="A31" s="6" t="s">
        <v>23</v>
      </c>
      <c r="B31" s="40" t="s">
        <v>178</v>
      </c>
      <c r="C31" s="13" t="s">
        <v>212</v>
      </c>
      <c r="D31" s="13" t="s">
        <v>212</v>
      </c>
      <c r="E31" s="13"/>
      <c r="F31" s="13" t="s">
        <v>212</v>
      </c>
      <c r="G31" s="13"/>
      <c r="H31" s="13" t="s">
        <v>212</v>
      </c>
      <c r="I31" s="13"/>
      <c r="J31" s="13" t="s">
        <v>212</v>
      </c>
      <c r="K31" s="13"/>
      <c r="L31" s="13"/>
      <c r="M31" s="13" t="s">
        <v>247</v>
      </c>
      <c r="N31" s="13" t="s">
        <v>254</v>
      </c>
      <c r="O31" s="13"/>
      <c r="P31" s="13" t="s">
        <v>255</v>
      </c>
      <c r="Q31" s="13" t="s">
        <v>256</v>
      </c>
    </row>
    <row r="32" spans="1:17" x14ac:dyDescent="0.25">
      <c r="A32" s="6" t="s">
        <v>23</v>
      </c>
      <c r="B32" s="40" t="s">
        <v>179</v>
      </c>
      <c r="C32" s="13" t="s">
        <v>213</v>
      </c>
      <c r="D32" s="13" t="s">
        <v>213</v>
      </c>
      <c r="E32" s="13"/>
      <c r="F32" s="13"/>
      <c r="G32" s="13"/>
      <c r="H32" s="13"/>
      <c r="I32" s="13" t="s">
        <v>213</v>
      </c>
      <c r="J32" s="13" t="s">
        <v>213</v>
      </c>
      <c r="K32" s="13" t="s">
        <v>213</v>
      </c>
      <c r="L32" s="13" t="s">
        <v>213</v>
      </c>
      <c r="M32" s="13" t="s">
        <v>248</v>
      </c>
      <c r="N32" s="13" t="s">
        <v>249</v>
      </c>
      <c r="O32" s="13"/>
      <c r="P32" s="13" t="s">
        <v>250</v>
      </c>
      <c r="Q32" s="13"/>
    </row>
    <row r="33" spans="1:17" x14ac:dyDescent="0.25">
      <c r="A33" s="6" t="s">
        <v>23</v>
      </c>
      <c r="B33" s="40" t="s">
        <v>180</v>
      </c>
      <c r="C33" s="13" t="s">
        <v>214</v>
      </c>
      <c r="D33" s="13" t="s">
        <v>214</v>
      </c>
      <c r="E33" s="13"/>
      <c r="F33" s="13"/>
      <c r="G33" s="13"/>
      <c r="H33" s="13"/>
      <c r="I33" s="13" t="s">
        <v>214</v>
      </c>
      <c r="J33" s="13" t="s">
        <v>214</v>
      </c>
      <c r="K33" s="13" t="s">
        <v>214</v>
      </c>
      <c r="L33" s="13" t="s">
        <v>214</v>
      </c>
      <c r="M33" s="13" t="s">
        <v>214</v>
      </c>
      <c r="N33" s="13" t="s">
        <v>214</v>
      </c>
      <c r="O33" s="13"/>
      <c r="P33" s="13" t="s">
        <v>214</v>
      </c>
      <c r="Q33" s="13"/>
    </row>
    <row r="34" spans="1:17" ht="45" x14ac:dyDescent="0.25">
      <c r="A34" s="6" t="s">
        <v>23</v>
      </c>
      <c r="B34" s="40" t="s">
        <v>181</v>
      </c>
      <c r="C34" s="29" t="s">
        <v>215</v>
      </c>
      <c r="D34" s="13" t="s">
        <v>215</v>
      </c>
      <c r="E34" s="13"/>
      <c r="F34" s="13"/>
      <c r="G34" s="13"/>
      <c r="H34" s="13"/>
      <c r="I34" s="13" t="s">
        <v>215</v>
      </c>
      <c r="J34" s="13" t="s">
        <v>215</v>
      </c>
      <c r="K34" s="13" t="s">
        <v>215</v>
      </c>
      <c r="L34" s="13" t="s">
        <v>215</v>
      </c>
      <c r="M34" s="13" t="s">
        <v>215</v>
      </c>
      <c r="N34" s="13" t="s">
        <v>215</v>
      </c>
      <c r="O34" s="13"/>
      <c r="P34" s="13" t="s">
        <v>215</v>
      </c>
      <c r="Q34" s="13"/>
    </row>
    <row r="35" spans="1:17" x14ac:dyDescent="0.25">
      <c r="A35" s="6" t="s">
        <v>23</v>
      </c>
      <c r="B35" s="40" t="s">
        <v>182</v>
      </c>
      <c r="C35" s="13" t="s">
        <v>216</v>
      </c>
      <c r="D35" s="13" t="s">
        <v>216</v>
      </c>
      <c r="E35" s="13" t="s">
        <v>216</v>
      </c>
      <c r="F35" s="13" t="s">
        <v>216</v>
      </c>
      <c r="G35" s="13" t="s">
        <v>216</v>
      </c>
      <c r="H35" s="13" t="s">
        <v>216</v>
      </c>
      <c r="I35" s="13" t="s">
        <v>216</v>
      </c>
      <c r="J35" s="13" t="s">
        <v>216</v>
      </c>
      <c r="K35" s="13" t="s">
        <v>216</v>
      </c>
      <c r="L35" s="13" t="s">
        <v>216</v>
      </c>
      <c r="M35" s="13" t="s">
        <v>216</v>
      </c>
      <c r="N35" s="13" t="s">
        <v>216</v>
      </c>
      <c r="O35" s="13" t="s">
        <v>216</v>
      </c>
      <c r="P35" s="13" t="s">
        <v>216</v>
      </c>
      <c r="Q35" s="13" t="s">
        <v>216</v>
      </c>
    </row>
    <row r="36" spans="1:17" x14ac:dyDescent="0.25">
      <c r="A36" s="4" t="s">
        <v>23</v>
      </c>
      <c r="B36" s="43" t="s">
        <v>158</v>
      </c>
      <c r="C36" s="15" t="s">
        <v>192</v>
      </c>
      <c r="D36" s="15" t="s">
        <v>192</v>
      </c>
      <c r="E36" s="15" t="s">
        <v>192</v>
      </c>
      <c r="F36" s="15" t="s">
        <v>192</v>
      </c>
      <c r="G36" s="15" t="s">
        <v>192</v>
      </c>
      <c r="H36" s="15" t="s">
        <v>192</v>
      </c>
      <c r="I36" s="15" t="s">
        <v>192</v>
      </c>
      <c r="J36" s="15" t="s">
        <v>192</v>
      </c>
      <c r="K36" s="15" t="s">
        <v>192</v>
      </c>
      <c r="L36" s="15" t="s">
        <v>192</v>
      </c>
      <c r="M36" s="15" t="s">
        <v>192</v>
      </c>
      <c r="N36" s="15" t="s">
        <v>192</v>
      </c>
      <c r="O36" s="15" t="s">
        <v>192</v>
      </c>
      <c r="P36" s="15" t="s">
        <v>192</v>
      </c>
      <c r="Q36" s="15" t="s">
        <v>192</v>
      </c>
    </row>
    <row r="37" spans="1:17" x14ac:dyDescent="0.25">
      <c r="A37" s="4" t="s">
        <v>23</v>
      </c>
      <c r="B37" s="44" t="s">
        <v>113</v>
      </c>
      <c r="C37" s="47" t="s">
        <v>201</v>
      </c>
    </row>
    <row r="38" spans="1:17" x14ac:dyDescent="0.25">
      <c r="A38" s="4" t="s">
        <v>23</v>
      </c>
      <c r="B38" s="44" t="s">
        <v>183</v>
      </c>
      <c r="C38" s="13" t="s">
        <v>217</v>
      </c>
      <c r="D38" s="13" t="s">
        <v>231</v>
      </c>
      <c r="E38" s="13" t="s">
        <v>226</v>
      </c>
      <c r="F38" s="13" t="s">
        <v>269</v>
      </c>
      <c r="G38" s="13" t="s">
        <v>263</v>
      </c>
      <c r="H38" s="13" t="s">
        <v>264</v>
      </c>
      <c r="I38" s="13" t="s">
        <v>217</v>
      </c>
      <c r="J38" s="13" t="s">
        <v>265</v>
      </c>
      <c r="K38" s="13" t="s">
        <v>266</v>
      </c>
      <c r="L38" s="13" t="s">
        <v>267</v>
      </c>
      <c r="M38" s="13" t="s">
        <v>268</v>
      </c>
      <c r="N38" s="13" t="s">
        <v>231</v>
      </c>
      <c r="O38" s="13" t="s">
        <v>231</v>
      </c>
      <c r="P38" s="13" t="s">
        <v>231</v>
      </c>
      <c r="Q38" s="13" t="s">
        <v>231</v>
      </c>
    </row>
    <row r="39" spans="1:17" x14ac:dyDescent="0.25">
      <c r="A39" s="6" t="s">
        <v>23</v>
      </c>
      <c r="B39" s="44" t="s">
        <v>184</v>
      </c>
      <c r="C39" s="13" t="s">
        <v>30</v>
      </c>
      <c r="D39" s="13" t="s">
        <v>133</v>
      </c>
      <c r="E39" s="13" t="s">
        <v>133</v>
      </c>
      <c r="F39" s="13" t="s">
        <v>133</v>
      </c>
      <c r="G39" s="13" t="s">
        <v>133</v>
      </c>
      <c r="H39" s="13" t="s">
        <v>133</v>
      </c>
      <c r="I39" s="13" t="s">
        <v>133</v>
      </c>
      <c r="J39" s="13" t="s">
        <v>133</v>
      </c>
      <c r="K39" s="13" t="s">
        <v>133</v>
      </c>
      <c r="L39" s="13" t="s">
        <v>133</v>
      </c>
      <c r="M39" s="13" t="s">
        <v>133</v>
      </c>
      <c r="N39" s="13" t="s">
        <v>133</v>
      </c>
      <c r="O39" s="13" t="s">
        <v>133</v>
      </c>
      <c r="P39" s="13" t="s">
        <v>133</v>
      </c>
      <c r="Q39" s="13" t="s">
        <v>133</v>
      </c>
    </row>
    <row r="40" spans="1:17" x14ac:dyDescent="0.25">
      <c r="A40" s="6" t="s">
        <v>23</v>
      </c>
      <c r="B40" s="44" t="s">
        <v>164</v>
      </c>
      <c r="C40" s="13"/>
      <c r="D40" s="13" t="s">
        <v>311</v>
      </c>
      <c r="E40" s="13"/>
      <c r="F40" s="13" t="s">
        <v>312</v>
      </c>
      <c r="G40" s="13" t="s">
        <v>311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6" t="s">
        <v>23</v>
      </c>
      <c r="B41" s="44" t="s">
        <v>165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6" t="s">
        <v>23</v>
      </c>
      <c r="B42" s="44" t="s">
        <v>166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4" t="s">
        <v>23</v>
      </c>
      <c r="B43" s="38" t="s">
        <v>158</v>
      </c>
      <c r="C43" s="15" t="s">
        <v>193</v>
      </c>
    </row>
    <row r="44" spans="1:17" x14ac:dyDescent="0.25">
      <c r="A44" s="4" t="s">
        <v>23</v>
      </c>
      <c r="B44" s="38" t="s">
        <v>113</v>
      </c>
      <c r="C44" s="47" t="s">
        <v>201</v>
      </c>
    </row>
    <row r="45" spans="1:17" x14ac:dyDescent="0.25">
      <c r="A45" s="4" t="s">
        <v>23</v>
      </c>
      <c r="B45" s="38" t="s">
        <v>185</v>
      </c>
      <c r="C45" s="47" t="s">
        <v>218</v>
      </c>
    </row>
    <row r="46" spans="1:17" x14ac:dyDescent="0.25">
      <c r="A46" s="4" t="s">
        <v>23</v>
      </c>
      <c r="B46" s="45" t="s">
        <v>158</v>
      </c>
      <c r="C46" s="15" t="s">
        <v>194</v>
      </c>
    </row>
    <row r="47" spans="1:17" x14ac:dyDescent="0.25">
      <c r="A47" s="4" t="s">
        <v>23</v>
      </c>
      <c r="B47" s="45" t="s">
        <v>113</v>
      </c>
      <c r="C47" s="47" t="s">
        <v>201</v>
      </c>
    </row>
    <row r="48" spans="1:17" x14ac:dyDescent="0.25">
      <c r="A48" s="4" t="s">
        <v>23</v>
      </c>
      <c r="B48" s="45" t="s">
        <v>46</v>
      </c>
      <c r="C48" s="47" t="s">
        <v>201</v>
      </c>
    </row>
    <row r="49" spans="1:3" x14ac:dyDescent="0.25">
      <c r="A49" s="4" t="s">
        <v>23</v>
      </c>
      <c r="B49" s="45" t="s">
        <v>186</v>
      </c>
      <c r="C49" s="47" t="s">
        <v>218</v>
      </c>
    </row>
    <row r="50" spans="1:3" x14ac:dyDescent="0.25">
      <c r="A50" s="4" t="s">
        <v>23</v>
      </c>
      <c r="B50" s="46" t="s">
        <v>158</v>
      </c>
      <c r="C50" s="15" t="s">
        <v>195</v>
      </c>
    </row>
    <row r="51" spans="1:3" x14ac:dyDescent="0.25">
      <c r="A51" s="4" t="s">
        <v>23</v>
      </c>
      <c r="B51" s="46" t="s">
        <v>46</v>
      </c>
      <c r="C51" s="47" t="s">
        <v>201</v>
      </c>
    </row>
    <row r="52" spans="1:3" x14ac:dyDescent="0.25">
      <c r="A52" s="4" t="s">
        <v>23</v>
      </c>
      <c r="B52" s="46" t="s">
        <v>187</v>
      </c>
      <c r="C52" s="47" t="s">
        <v>218</v>
      </c>
    </row>
    <row r="53" spans="1:3" x14ac:dyDescent="0.25">
      <c r="A53" s="4" t="s">
        <v>23</v>
      </c>
      <c r="B53" s="39" t="s">
        <v>158</v>
      </c>
      <c r="C53" s="15" t="s">
        <v>196</v>
      </c>
    </row>
    <row r="54" spans="1:3" x14ac:dyDescent="0.25">
      <c r="A54" s="6" t="s">
        <v>23</v>
      </c>
      <c r="B54" s="39" t="s">
        <v>159</v>
      </c>
      <c r="C54" s="13" t="str">
        <f>C4</f>
        <v>987654321</v>
      </c>
    </row>
    <row r="55" spans="1:3" x14ac:dyDescent="0.25">
      <c r="A55" s="4" t="s">
        <v>23</v>
      </c>
      <c r="B55" s="39" t="s">
        <v>188</v>
      </c>
      <c r="C55" s="47" t="s">
        <v>218</v>
      </c>
    </row>
  </sheetData>
  <dataValidations count="12">
    <dataValidation type="list" showErrorMessage="1" errorTitle="!!Field Selection Invalid!!" error="Only Fields to be selected are 'Have' &amp; 'Don't Have'" sqref="A2:A55">
      <formula1>"Have, Don't Have"</formula1>
    </dataValidation>
    <dataValidation type="list" allowBlank="1" showInputMessage="1" showErrorMessage="1" sqref="C2">
      <formula1>"AAA"</formula1>
    </dataValidation>
    <dataValidation type="list" allowBlank="1" showInputMessage="1" showErrorMessage="1" sqref="C8">
      <formula1>"BBB"</formula1>
    </dataValidation>
    <dataValidation type="list" allowBlank="1" showInputMessage="1" showErrorMessage="1" sqref="C12:Q12">
      <formula1>"CCC"</formula1>
    </dataValidation>
    <dataValidation type="list" allowBlank="1" showInputMessage="1" showErrorMessage="1" sqref="C36:Q36">
      <formula1>"DDD"</formula1>
    </dataValidation>
    <dataValidation type="list" allowBlank="1" showInputMessage="1" showErrorMessage="1" sqref="C43">
      <formula1>"WWW"</formula1>
    </dataValidation>
    <dataValidation type="list" allowBlank="1" showInputMessage="1" showErrorMessage="1" sqref="C46">
      <formula1>"XXX"</formula1>
    </dataValidation>
    <dataValidation type="list" allowBlank="1" showInputMessage="1" showErrorMessage="1" sqref="C50">
      <formula1>"YYY"</formula1>
    </dataValidation>
    <dataValidation type="list" allowBlank="1" showInputMessage="1" showErrorMessage="1" sqref="C53">
      <formula1>"ZZZ"</formula1>
    </dataValidation>
    <dataValidation type="list" allowBlank="1" showInputMessage="1" showErrorMessage="1" sqref="C11">
      <formula1>"IMGNX"</formula1>
    </dataValidation>
    <dataValidation type="list" allowBlank="1" showInputMessage="1" showErrorMessage="1" sqref="C16:Q16">
      <formula1>"IP, OP, SNF, HOP"</formula1>
    </dataValidation>
    <dataValidation type="list" allowBlank="1" showInputMessage="1" showErrorMessage="1" sqref="C21:Q21 C39:Q39">
      <formula1>"Y, 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66"/>
  <sheetViews>
    <sheetView workbookViewId="0">
      <pane ySplit="1" topLeftCell="A2" activePane="bottomLeft" state="frozen"/>
      <selection activeCell="F15" sqref="F15"/>
      <selection pane="bottomLeft" activeCell="F15" sqref="F15"/>
    </sheetView>
  </sheetViews>
  <sheetFormatPr defaultRowHeight="15" x14ac:dyDescent="0.25"/>
  <cols>
    <col min="1" max="1" width="15.7109375" customWidth="1"/>
    <col min="2" max="2" width="32.7109375" customWidth="1"/>
    <col min="3" max="4" width="22" bestFit="1" customWidth="1"/>
  </cols>
  <sheetData>
    <row r="1" spans="1:4" x14ac:dyDescent="0.25">
      <c r="A1" s="9" t="s">
        <v>22</v>
      </c>
      <c r="B1" s="8" t="s">
        <v>1</v>
      </c>
      <c r="C1" s="8" t="s">
        <v>21</v>
      </c>
      <c r="D1" s="27" t="s">
        <v>107</v>
      </c>
    </row>
    <row r="2" spans="1:4" x14ac:dyDescent="0.25">
      <c r="A2" s="4" t="s">
        <v>23</v>
      </c>
      <c r="B2" s="3" t="s">
        <v>46</v>
      </c>
      <c r="C2" s="26" t="s">
        <v>356</v>
      </c>
      <c r="D2" s="29" t="e">
        <f>UPPER(FLAT_MMR!#REF!)</f>
        <v>#REF!</v>
      </c>
    </row>
    <row r="3" spans="1:4" x14ac:dyDescent="0.25">
      <c r="A3" s="4" t="s">
        <v>23</v>
      </c>
      <c r="B3" s="17" t="s">
        <v>47</v>
      </c>
      <c r="C3" s="13" t="s">
        <v>357</v>
      </c>
      <c r="D3" s="29" t="e">
        <f>UPPER(FLAT_MMR!#REF!)</f>
        <v>#REF!</v>
      </c>
    </row>
    <row r="4" spans="1:4" x14ac:dyDescent="0.25">
      <c r="A4" s="4" t="s">
        <v>23</v>
      </c>
      <c r="B4" s="3" t="s">
        <v>48</v>
      </c>
      <c r="C4" s="13" t="s">
        <v>92</v>
      </c>
      <c r="D4" s="13" t="s">
        <v>92</v>
      </c>
    </row>
    <row r="5" spans="1:4" x14ac:dyDescent="0.25">
      <c r="A5" s="6" t="s">
        <v>23</v>
      </c>
      <c r="B5" s="17" t="s">
        <v>5</v>
      </c>
      <c r="C5" s="13" t="s">
        <v>352</v>
      </c>
      <c r="D5" s="26" t="e">
        <f>FLAT_MMR!#REF!</f>
        <v>#REF!</v>
      </c>
    </row>
    <row r="6" spans="1:4" x14ac:dyDescent="0.25">
      <c r="A6" s="6" t="s">
        <v>24</v>
      </c>
      <c r="B6" s="17" t="s">
        <v>49</v>
      </c>
      <c r="C6" s="13" t="s">
        <v>353</v>
      </c>
      <c r="D6" s="26" t="e">
        <f>FLAT_MMR!#REF!</f>
        <v>#REF!</v>
      </c>
    </row>
    <row r="7" spans="1:4" x14ac:dyDescent="0.25">
      <c r="A7" s="6" t="s">
        <v>23</v>
      </c>
      <c r="B7" s="17" t="s">
        <v>50</v>
      </c>
      <c r="C7" s="13" t="s">
        <v>354</v>
      </c>
      <c r="D7" s="26" t="e">
        <f>FLAT_MMR!#REF!</f>
        <v>#REF!</v>
      </c>
    </row>
    <row r="8" spans="1:4" x14ac:dyDescent="0.25">
      <c r="A8" s="6" t="s">
        <v>23</v>
      </c>
      <c r="B8" s="3" t="s">
        <v>51</v>
      </c>
      <c r="C8" s="13" t="s">
        <v>25</v>
      </c>
      <c r="D8" s="26" t="e">
        <f>FLAT_MMR!#REF!</f>
        <v>#REF!</v>
      </c>
    </row>
    <row r="9" spans="1:4" x14ac:dyDescent="0.25">
      <c r="A9" s="6" t="s">
        <v>23</v>
      </c>
      <c r="B9" s="17" t="s">
        <v>52</v>
      </c>
      <c r="C9" s="13" t="s">
        <v>354</v>
      </c>
      <c r="D9" s="26" t="e">
        <f>FLAT_MMR!#REF!</f>
        <v>#REF!</v>
      </c>
    </row>
    <row r="10" spans="1:4" x14ac:dyDescent="0.25">
      <c r="A10" s="6" t="s">
        <v>23</v>
      </c>
      <c r="B10" s="3" t="s">
        <v>53</v>
      </c>
      <c r="C10" s="13" t="s">
        <v>27</v>
      </c>
      <c r="D10" s="26" t="e">
        <f>FLAT_MMR!#REF!</f>
        <v>#REF!</v>
      </c>
    </row>
    <row r="11" spans="1:4" x14ac:dyDescent="0.25">
      <c r="A11" s="6" t="s">
        <v>23</v>
      </c>
      <c r="B11" s="3" t="s">
        <v>54</v>
      </c>
      <c r="C11" s="13" t="s">
        <v>310</v>
      </c>
      <c r="D11" s="26" t="e">
        <f>FLAT_MMR!#REF!</f>
        <v>#REF!</v>
      </c>
    </row>
    <row r="12" spans="1:4" x14ac:dyDescent="0.25">
      <c r="A12" s="6" t="s">
        <v>23</v>
      </c>
      <c r="B12" s="3" t="s">
        <v>55</v>
      </c>
      <c r="C12" s="13" t="s">
        <v>310</v>
      </c>
      <c r="D12" s="26" t="e">
        <f>FLAT_MMR!#REF!</f>
        <v>#REF!</v>
      </c>
    </row>
    <row r="13" spans="1:4" x14ac:dyDescent="0.25">
      <c r="A13" s="6" t="s">
        <v>23</v>
      </c>
      <c r="B13" s="3" t="s">
        <v>56</v>
      </c>
      <c r="C13" s="13" t="s">
        <v>30</v>
      </c>
      <c r="D13" s="28" t="e">
        <f>FLAT_MMR!#REF!</f>
        <v>#REF!</v>
      </c>
    </row>
    <row r="14" spans="1:4" x14ac:dyDescent="0.25">
      <c r="A14" s="6" t="s">
        <v>23</v>
      </c>
      <c r="B14" s="3" t="s">
        <v>57</v>
      </c>
      <c r="C14" s="26" t="s">
        <v>355</v>
      </c>
      <c r="D14" s="26" t="e">
        <f>FLAT_MMR!#REF!</f>
        <v>#REF!</v>
      </c>
    </row>
    <row r="15" spans="1:4" x14ac:dyDescent="0.25">
      <c r="A15" s="6" t="s">
        <v>23</v>
      </c>
      <c r="B15" s="3" t="s">
        <v>58</v>
      </c>
      <c r="C15" s="13" t="s">
        <v>110</v>
      </c>
      <c r="D15" s="26" t="e">
        <f>FLAT_MMR!#REF!</f>
        <v>#REF!</v>
      </c>
    </row>
    <row r="16" spans="1:4" x14ac:dyDescent="0.25">
      <c r="A16" s="6" t="s">
        <v>23</v>
      </c>
      <c r="B16" s="3" t="s">
        <v>10</v>
      </c>
      <c r="C16" s="13" t="s">
        <v>318</v>
      </c>
      <c r="D16" s="28" t="e">
        <f>FLAT_MMR!#REF!</f>
        <v>#REF!</v>
      </c>
    </row>
    <row r="17" spans="1:4" x14ac:dyDescent="0.25">
      <c r="A17" s="6" t="s">
        <v>23</v>
      </c>
      <c r="B17" s="3" t="s">
        <v>9</v>
      </c>
      <c r="C17" s="13" t="s">
        <v>317</v>
      </c>
      <c r="D17" s="28" t="e">
        <f>FLAT_MMR!#REF!</f>
        <v>#REF!</v>
      </c>
    </row>
    <row r="18" spans="1:4" x14ac:dyDescent="0.25">
      <c r="A18" s="6" t="s">
        <v>23</v>
      </c>
      <c r="B18" s="3" t="s">
        <v>11</v>
      </c>
      <c r="C18" s="13" t="s">
        <v>156</v>
      </c>
      <c r="D18" s="28" t="e">
        <f>FLAT_MMR!#REF!</f>
        <v>#REF!</v>
      </c>
    </row>
    <row r="19" spans="1:4" x14ac:dyDescent="0.25">
      <c r="A19" s="6" t="s">
        <v>24</v>
      </c>
      <c r="B19" s="3" t="s">
        <v>12</v>
      </c>
      <c r="C19" s="13" t="s">
        <v>157</v>
      </c>
      <c r="D19" s="28" t="e">
        <f>FLAT_MMR!#REF!</f>
        <v>#REF!</v>
      </c>
    </row>
    <row r="20" spans="1:4" x14ac:dyDescent="0.25">
      <c r="A20" s="6" t="s">
        <v>23</v>
      </c>
      <c r="B20" s="3" t="s">
        <v>13</v>
      </c>
      <c r="C20" s="13" t="s">
        <v>155</v>
      </c>
      <c r="D20" s="28" t="e">
        <f>FLAT_MMR!#REF!</f>
        <v>#REF!</v>
      </c>
    </row>
    <row r="21" spans="1:4" x14ac:dyDescent="0.25">
      <c r="A21" s="6" t="s">
        <v>23</v>
      </c>
      <c r="B21" s="3" t="s">
        <v>14</v>
      </c>
      <c r="C21" s="13" t="s">
        <v>34</v>
      </c>
      <c r="D21" s="28" t="e">
        <f>FLAT_MMR!#REF!</f>
        <v>#REF!</v>
      </c>
    </row>
    <row r="22" spans="1:4" x14ac:dyDescent="0.25">
      <c r="A22" s="6" t="s">
        <v>23</v>
      </c>
      <c r="B22" s="3" t="s">
        <v>15</v>
      </c>
      <c r="C22" s="13" t="s">
        <v>109</v>
      </c>
      <c r="D22" s="26" t="str">
        <f>FLAT_MMR!C10</f>
        <v>T</v>
      </c>
    </row>
    <row r="23" spans="1:4" x14ac:dyDescent="0.25">
      <c r="A23" s="6" t="s">
        <v>23</v>
      </c>
      <c r="B23" s="3" t="s">
        <v>16</v>
      </c>
      <c r="C23" s="13" t="s">
        <v>111</v>
      </c>
      <c r="D23" s="28" t="str">
        <f>FLAT_MMR!C11</f>
        <v>2013-12-10 00:00:00</v>
      </c>
    </row>
    <row r="24" spans="1:4" x14ac:dyDescent="0.25">
      <c r="A24" s="6" t="s">
        <v>23</v>
      </c>
      <c r="B24" s="3" t="s">
        <v>18</v>
      </c>
      <c r="C24" s="13" t="s">
        <v>32</v>
      </c>
      <c r="D24" s="28" t="e">
        <f>FLAT_MMR!#REF!</f>
        <v>#REF!</v>
      </c>
    </row>
    <row r="25" spans="1:4" x14ac:dyDescent="0.25">
      <c r="A25" s="4" t="s">
        <v>24</v>
      </c>
      <c r="B25" s="3" t="s">
        <v>59</v>
      </c>
      <c r="C25" s="13" t="s">
        <v>350</v>
      </c>
      <c r="D25" s="28"/>
    </row>
    <row r="26" spans="1:4" x14ac:dyDescent="0.25">
      <c r="A26" s="4" t="s">
        <v>24</v>
      </c>
      <c r="B26" s="3" t="s">
        <v>60</v>
      </c>
      <c r="C26" s="13" t="s">
        <v>350</v>
      </c>
      <c r="D26" s="28"/>
    </row>
    <row r="27" spans="1:4" x14ac:dyDescent="0.25">
      <c r="A27" s="6" t="s">
        <v>23</v>
      </c>
      <c r="B27" s="3" t="s">
        <v>65</v>
      </c>
      <c r="C27" s="13"/>
      <c r="D27" s="28"/>
    </row>
    <row r="28" spans="1:4" x14ac:dyDescent="0.25">
      <c r="A28" s="6" t="s">
        <v>23</v>
      </c>
      <c r="B28" s="3" t="s">
        <v>67</v>
      </c>
      <c r="C28" s="13"/>
      <c r="D28" s="28"/>
    </row>
    <row r="29" spans="1:4" x14ac:dyDescent="0.25">
      <c r="A29" s="6" t="s">
        <v>23</v>
      </c>
      <c r="B29" s="2" t="s">
        <v>69</v>
      </c>
      <c r="C29" s="13"/>
      <c r="D29" s="28"/>
    </row>
    <row r="30" spans="1:4" x14ac:dyDescent="0.25">
      <c r="A30" s="6" t="s">
        <v>23</v>
      </c>
      <c r="B30" s="3" t="s">
        <v>61</v>
      </c>
      <c r="C30" s="13" t="s">
        <v>30</v>
      </c>
      <c r="D30" s="28"/>
    </row>
    <row r="31" spans="1:4" x14ac:dyDescent="0.25">
      <c r="A31" s="5" t="s">
        <v>23</v>
      </c>
      <c r="B31" s="3" t="s">
        <v>62</v>
      </c>
      <c r="C31" s="13" t="s">
        <v>358</v>
      </c>
      <c r="D31" s="28"/>
    </row>
    <row r="32" spans="1:4" x14ac:dyDescent="0.25">
      <c r="A32" s="6" t="s">
        <v>23</v>
      </c>
      <c r="B32" s="3" t="s">
        <v>63</v>
      </c>
      <c r="C32" s="13"/>
      <c r="D32" s="28"/>
    </row>
    <row r="33" spans="1:4" x14ac:dyDescent="0.25">
      <c r="A33" s="6" t="s">
        <v>23</v>
      </c>
      <c r="B33" s="3" t="s">
        <v>64</v>
      </c>
      <c r="C33" s="13"/>
      <c r="D33" s="28"/>
    </row>
    <row r="34" spans="1:4" x14ac:dyDescent="0.25">
      <c r="A34" s="6" t="s">
        <v>23</v>
      </c>
      <c r="B34" s="3" t="s">
        <v>65</v>
      </c>
      <c r="C34" s="13" t="s">
        <v>313</v>
      </c>
      <c r="D34" s="28"/>
    </row>
    <row r="35" spans="1:4" x14ac:dyDescent="0.25">
      <c r="A35" s="6" t="s">
        <v>23</v>
      </c>
      <c r="B35" s="3" t="s">
        <v>66</v>
      </c>
      <c r="C35" s="13"/>
      <c r="D35" s="28"/>
    </row>
    <row r="36" spans="1:4" x14ac:dyDescent="0.25">
      <c r="A36" s="6" t="s">
        <v>24</v>
      </c>
      <c r="B36" s="3" t="s">
        <v>67</v>
      </c>
      <c r="C36" s="13"/>
      <c r="D36" s="28"/>
    </row>
    <row r="37" spans="1:4" x14ac:dyDescent="0.25">
      <c r="A37" s="6" t="s">
        <v>23</v>
      </c>
      <c r="B37" s="2" t="s">
        <v>68</v>
      </c>
      <c r="C37" s="13"/>
      <c r="D37" s="28"/>
    </row>
    <row r="38" spans="1:4" x14ac:dyDescent="0.25">
      <c r="A38" s="6" t="s">
        <v>24</v>
      </c>
      <c r="B38" s="2" t="s">
        <v>69</v>
      </c>
      <c r="C38" s="13"/>
      <c r="D38" s="28"/>
    </row>
    <row r="39" spans="1:4" x14ac:dyDescent="0.25">
      <c r="A39" s="6" t="s">
        <v>23</v>
      </c>
      <c r="B39" s="2" t="s">
        <v>70</v>
      </c>
      <c r="C39" s="13"/>
      <c r="D39" s="28"/>
    </row>
    <row r="40" spans="1:4" x14ac:dyDescent="0.25">
      <c r="A40" s="4" t="s">
        <v>23</v>
      </c>
      <c r="B40" s="2" t="s">
        <v>71</v>
      </c>
      <c r="C40" s="13" t="s">
        <v>93</v>
      </c>
      <c r="D40" s="28"/>
    </row>
    <row r="41" spans="1:4" x14ac:dyDescent="0.25">
      <c r="A41" s="6" t="s">
        <v>23</v>
      </c>
      <c r="B41" s="2" t="s">
        <v>6</v>
      </c>
      <c r="C41" s="13" t="s">
        <v>34</v>
      </c>
      <c r="D41" s="28" t="e">
        <f>FLAT_MMR!#REF!</f>
        <v>#REF!</v>
      </c>
    </row>
    <row r="42" spans="1:4" x14ac:dyDescent="0.25">
      <c r="A42" s="6" t="s">
        <v>23</v>
      </c>
      <c r="B42" s="2" t="s">
        <v>7</v>
      </c>
      <c r="C42" s="13" t="s">
        <v>310</v>
      </c>
      <c r="D42" s="28" t="e">
        <f>FLAT_MMR!#REF!</f>
        <v>#REF!</v>
      </c>
    </row>
    <row r="43" spans="1:4" x14ac:dyDescent="0.25">
      <c r="A43" s="6" t="s">
        <v>24</v>
      </c>
      <c r="B43" s="2" t="s">
        <v>17</v>
      </c>
      <c r="C43" s="13" t="s">
        <v>31</v>
      </c>
      <c r="D43" s="28" t="e">
        <f>FLAT_MMR!#REF!</f>
        <v>#REF!</v>
      </c>
    </row>
    <row r="44" spans="1:4" x14ac:dyDescent="0.25">
      <c r="A44" s="6" t="s">
        <v>24</v>
      </c>
      <c r="B44" s="2" t="s">
        <v>3</v>
      </c>
      <c r="C44" s="13" t="s">
        <v>351</v>
      </c>
      <c r="D44" s="28" t="str">
        <f>FLAT_MMR!C3</f>
        <v>310842990</v>
      </c>
    </row>
    <row r="45" spans="1:4" x14ac:dyDescent="0.25">
      <c r="A45" s="4" t="s">
        <v>24</v>
      </c>
      <c r="B45" s="2" t="s">
        <v>72</v>
      </c>
      <c r="C45" s="13" t="s">
        <v>94</v>
      </c>
      <c r="D45" s="28"/>
    </row>
    <row r="46" spans="1:4" x14ac:dyDescent="0.25">
      <c r="A46" s="4" t="s">
        <v>24</v>
      </c>
      <c r="B46" s="2" t="s">
        <v>73</v>
      </c>
      <c r="C46" s="13" t="s">
        <v>95</v>
      </c>
      <c r="D46" s="28"/>
    </row>
    <row r="47" spans="1:4" x14ac:dyDescent="0.25">
      <c r="A47" s="4" t="s">
        <v>24</v>
      </c>
      <c r="B47" s="2" t="s">
        <v>74</v>
      </c>
      <c r="C47" s="13" t="s">
        <v>96</v>
      </c>
      <c r="D47" s="28"/>
    </row>
    <row r="48" spans="1:4" x14ac:dyDescent="0.25">
      <c r="A48" s="4" t="s">
        <v>23</v>
      </c>
      <c r="B48" s="2" t="s">
        <v>75</v>
      </c>
      <c r="C48" s="13" t="s">
        <v>96</v>
      </c>
      <c r="D48" s="28"/>
    </row>
    <row r="49" spans="1:4" x14ac:dyDescent="0.25">
      <c r="A49" s="4" t="s">
        <v>23</v>
      </c>
      <c r="B49" s="2" t="s">
        <v>76</v>
      </c>
      <c r="C49" s="13" t="s">
        <v>96</v>
      </c>
      <c r="D49" s="28"/>
    </row>
    <row r="50" spans="1:4" x14ac:dyDescent="0.25">
      <c r="A50" s="4" t="s">
        <v>23</v>
      </c>
      <c r="B50" s="2" t="s">
        <v>77</v>
      </c>
      <c r="C50" s="13" t="s">
        <v>96</v>
      </c>
      <c r="D50" s="28"/>
    </row>
    <row r="51" spans="1:4" x14ac:dyDescent="0.25">
      <c r="A51" s="4" t="s">
        <v>23</v>
      </c>
      <c r="B51" s="2" t="s">
        <v>78</v>
      </c>
      <c r="C51" s="13" t="s">
        <v>96</v>
      </c>
      <c r="D51" s="28"/>
    </row>
    <row r="52" spans="1:4" x14ac:dyDescent="0.25">
      <c r="A52" s="6" t="s">
        <v>24</v>
      </c>
      <c r="B52" s="2" t="s">
        <v>79</v>
      </c>
      <c r="C52" s="13" t="s">
        <v>98</v>
      </c>
      <c r="D52" s="28"/>
    </row>
    <row r="53" spans="1:4" x14ac:dyDescent="0.25">
      <c r="A53" s="4" t="s">
        <v>23</v>
      </c>
      <c r="B53" s="2" t="s">
        <v>80</v>
      </c>
      <c r="C53" s="13" t="s">
        <v>99</v>
      </c>
      <c r="D53" s="28"/>
    </row>
    <row r="54" spans="1:4" x14ac:dyDescent="0.25">
      <c r="A54" s="4" t="s">
        <v>23</v>
      </c>
      <c r="B54" s="2" t="s">
        <v>81</v>
      </c>
      <c r="C54" s="13" t="s">
        <v>100</v>
      </c>
      <c r="D54" s="28"/>
    </row>
    <row r="55" spans="1:4" x14ac:dyDescent="0.25">
      <c r="A55" s="4" t="s">
        <v>23</v>
      </c>
      <c r="B55" s="2" t="s">
        <v>82</v>
      </c>
      <c r="C55" s="13" t="s">
        <v>101</v>
      </c>
      <c r="D55" s="28"/>
    </row>
    <row r="56" spans="1:4" x14ac:dyDescent="0.25">
      <c r="A56" s="6" t="s">
        <v>23</v>
      </c>
      <c r="B56" s="2" t="s">
        <v>83</v>
      </c>
      <c r="C56" s="13" t="s">
        <v>102</v>
      </c>
      <c r="D56" s="28"/>
    </row>
    <row r="57" spans="1:4" x14ac:dyDescent="0.25">
      <c r="A57" s="4" t="s">
        <v>24</v>
      </c>
      <c r="B57" s="2" t="s">
        <v>84</v>
      </c>
      <c r="C57" s="13" t="s">
        <v>349</v>
      </c>
      <c r="D57" s="28" t="e">
        <f>FLAT_MMR!#REF!</f>
        <v>#REF!</v>
      </c>
    </row>
    <row r="58" spans="1:4" x14ac:dyDescent="0.25">
      <c r="A58" s="4" t="s">
        <v>24</v>
      </c>
      <c r="B58" s="2" t="s">
        <v>85</v>
      </c>
      <c r="C58" s="13" t="s">
        <v>103</v>
      </c>
      <c r="D58" s="28"/>
    </row>
    <row r="59" spans="1:4" x14ac:dyDescent="0.25">
      <c r="A59" s="4" t="s">
        <v>24</v>
      </c>
      <c r="B59" s="2" t="s">
        <v>86</v>
      </c>
      <c r="C59" s="13" t="s">
        <v>104</v>
      </c>
      <c r="D59" s="28"/>
    </row>
    <row r="60" spans="1:4" x14ac:dyDescent="0.25">
      <c r="A60" s="4" t="s">
        <v>23</v>
      </c>
      <c r="B60" s="2" t="s">
        <v>87</v>
      </c>
      <c r="C60" s="13" t="s">
        <v>105</v>
      </c>
      <c r="D60" s="28"/>
    </row>
    <row r="61" spans="1:4" x14ac:dyDescent="0.25">
      <c r="A61" s="4" t="s">
        <v>23</v>
      </c>
      <c r="B61" s="2" t="s">
        <v>88</v>
      </c>
      <c r="C61" s="13" t="s">
        <v>96</v>
      </c>
      <c r="D61" s="28"/>
    </row>
    <row r="62" spans="1:4" x14ac:dyDescent="0.25">
      <c r="A62" s="6" t="s">
        <v>23</v>
      </c>
      <c r="B62" s="2" t="s">
        <v>89</v>
      </c>
      <c r="C62" s="13" t="s">
        <v>97</v>
      </c>
      <c r="D62" s="28"/>
    </row>
    <row r="63" spans="1:4" x14ac:dyDescent="0.25">
      <c r="A63" s="6" t="s">
        <v>23</v>
      </c>
      <c r="B63" s="2" t="s">
        <v>90</v>
      </c>
      <c r="C63" s="13" t="s">
        <v>97</v>
      </c>
      <c r="D63" s="28"/>
    </row>
    <row r="64" spans="1:4" x14ac:dyDescent="0.25">
      <c r="A64" s="6" t="s">
        <v>23</v>
      </c>
      <c r="B64" s="2" t="s">
        <v>91</v>
      </c>
      <c r="C64" s="13" t="s">
        <v>106</v>
      </c>
      <c r="D64" s="28"/>
    </row>
    <row r="65" spans="1:4" x14ac:dyDescent="0.25">
      <c r="A65" s="4" t="s">
        <v>24</v>
      </c>
      <c r="B65" s="2" t="s">
        <v>45</v>
      </c>
      <c r="C65" s="13" t="s">
        <v>108</v>
      </c>
      <c r="D65" s="28" t="e">
        <f>FLAT_MMR!#REF!</f>
        <v>#REF!</v>
      </c>
    </row>
    <row r="66" spans="1:4" x14ac:dyDescent="0.25">
      <c r="A66" s="6" t="s">
        <v>24</v>
      </c>
      <c r="B66" s="2" t="s">
        <v>199</v>
      </c>
      <c r="C66" s="13" t="s">
        <v>200</v>
      </c>
      <c r="D66" s="28"/>
    </row>
  </sheetData>
  <dataValidations count="1">
    <dataValidation type="list" showErrorMessage="1" errorTitle="!!Field Selection Invalid!!" error="Only Fields to be selected are 'Have' &amp; 'Don't Have'" sqref="A2:A66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46"/>
  <sheetViews>
    <sheetView workbookViewId="0">
      <pane ySplit="1" topLeftCell="A14" activePane="bottomLeft" state="frozen"/>
      <selection activeCell="F15" sqref="F15"/>
      <selection pane="bottomLeft" activeCell="F15" sqref="F15"/>
    </sheetView>
  </sheetViews>
  <sheetFormatPr defaultRowHeight="15" x14ac:dyDescent="0.25"/>
  <cols>
    <col min="1" max="1" width="15.7109375" customWidth="1"/>
    <col min="2" max="2" width="32.7109375" customWidth="1"/>
    <col min="3" max="3" width="22" bestFit="1" customWidth="1"/>
  </cols>
  <sheetData>
    <row r="1" spans="1:3" x14ac:dyDescent="0.25">
      <c r="A1" s="9" t="s">
        <v>22</v>
      </c>
      <c r="B1" s="8" t="s">
        <v>1</v>
      </c>
      <c r="C1" s="8" t="s">
        <v>21</v>
      </c>
    </row>
    <row r="2" spans="1:3" s="51" customFormat="1" x14ac:dyDescent="0.25">
      <c r="A2" s="4" t="s">
        <v>23</v>
      </c>
      <c r="B2" s="3" t="s">
        <v>46</v>
      </c>
      <c r="C2" s="47" t="s">
        <v>324</v>
      </c>
    </row>
    <row r="3" spans="1:3" s="51" customFormat="1" x14ac:dyDescent="0.25">
      <c r="A3" s="4" t="s">
        <v>23</v>
      </c>
      <c r="B3" s="3" t="s">
        <v>113</v>
      </c>
      <c r="C3" s="47" t="s">
        <v>201</v>
      </c>
    </row>
    <row r="4" spans="1:3" s="51" customFormat="1" x14ac:dyDescent="0.25">
      <c r="A4" s="4" t="s">
        <v>23</v>
      </c>
      <c r="B4" s="3" t="s">
        <v>161</v>
      </c>
      <c r="C4" s="26" t="s">
        <v>227</v>
      </c>
    </row>
    <row r="5" spans="1:3" s="51" customFormat="1" x14ac:dyDescent="0.25">
      <c r="A5" s="4" t="s">
        <v>23</v>
      </c>
      <c r="B5" s="3" t="s">
        <v>162</v>
      </c>
      <c r="C5" s="26" t="s">
        <v>227</v>
      </c>
    </row>
    <row r="6" spans="1:3" s="51" customFormat="1" x14ac:dyDescent="0.25">
      <c r="A6" s="36" t="s">
        <v>23</v>
      </c>
      <c r="B6" s="3" t="s">
        <v>325</v>
      </c>
      <c r="C6" s="13"/>
    </row>
    <row r="7" spans="1:3" s="51" customFormat="1" x14ac:dyDescent="0.25">
      <c r="A7" s="4" t="s">
        <v>23</v>
      </c>
      <c r="B7" s="3" t="s">
        <v>163</v>
      </c>
      <c r="C7" s="13" t="s">
        <v>154</v>
      </c>
    </row>
    <row r="8" spans="1:3" s="51" customFormat="1" x14ac:dyDescent="0.25">
      <c r="A8" s="6" t="s">
        <v>23</v>
      </c>
      <c r="B8" s="3" t="s">
        <v>164</v>
      </c>
      <c r="C8" s="13"/>
    </row>
    <row r="9" spans="1:3" s="51" customFormat="1" x14ac:dyDescent="0.25">
      <c r="A9" s="6" t="s">
        <v>23</v>
      </c>
      <c r="B9" s="3" t="s">
        <v>165</v>
      </c>
      <c r="C9" s="13"/>
    </row>
    <row r="10" spans="1:3" s="51" customFormat="1" x14ac:dyDescent="0.25">
      <c r="A10" s="6" t="s">
        <v>23</v>
      </c>
      <c r="B10" s="3" t="s">
        <v>166</v>
      </c>
      <c r="C10" s="13"/>
    </row>
    <row r="11" spans="1:3" s="51" customFormat="1" x14ac:dyDescent="0.25">
      <c r="A11" s="6" t="s">
        <v>23</v>
      </c>
      <c r="B11" s="3" t="s">
        <v>326</v>
      </c>
      <c r="C11" s="13"/>
    </row>
    <row r="12" spans="1:3" s="51" customFormat="1" x14ac:dyDescent="0.25">
      <c r="A12" s="6" t="s">
        <v>23</v>
      </c>
      <c r="B12" s="3" t="s">
        <v>327</v>
      </c>
      <c r="C12" s="13"/>
    </row>
    <row r="13" spans="1:3" s="51" customFormat="1" x14ac:dyDescent="0.25">
      <c r="A13" s="6" t="s">
        <v>23</v>
      </c>
      <c r="B13" s="3" t="s">
        <v>328</v>
      </c>
      <c r="C13" s="13"/>
    </row>
    <row r="14" spans="1:3" s="51" customFormat="1" x14ac:dyDescent="0.25">
      <c r="A14" s="36" t="s">
        <v>23</v>
      </c>
      <c r="B14" s="3" t="s">
        <v>329</v>
      </c>
      <c r="C14" s="26"/>
    </row>
    <row r="15" spans="1:3" s="51" customFormat="1" x14ac:dyDescent="0.25">
      <c r="A15" s="4" t="s">
        <v>23</v>
      </c>
      <c r="B15" s="3" t="s">
        <v>183</v>
      </c>
      <c r="C15" s="13"/>
    </row>
    <row r="16" spans="1:3" s="51" customFormat="1" x14ac:dyDescent="0.25">
      <c r="A16" s="6" t="s">
        <v>23</v>
      </c>
      <c r="B16" s="3" t="s">
        <v>164</v>
      </c>
      <c r="C16" s="13"/>
    </row>
    <row r="17" spans="1:3" s="51" customFormat="1" x14ac:dyDescent="0.25">
      <c r="A17" s="6" t="s">
        <v>23</v>
      </c>
      <c r="B17" s="3" t="s">
        <v>165</v>
      </c>
      <c r="C17" s="13"/>
    </row>
    <row r="18" spans="1:3" s="51" customFormat="1" x14ac:dyDescent="0.25">
      <c r="A18" s="6" t="s">
        <v>23</v>
      </c>
      <c r="B18" s="3" t="s">
        <v>166</v>
      </c>
      <c r="C18" s="13"/>
    </row>
    <row r="19" spans="1:3" s="51" customFormat="1" x14ac:dyDescent="0.25">
      <c r="A19" s="6" t="s">
        <v>24</v>
      </c>
      <c r="B19" s="3" t="s">
        <v>326</v>
      </c>
      <c r="C19" s="13"/>
    </row>
    <row r="20" spans="1:3" s="51" customFormat="1" x14ac:dyDescent="0.25">
      <c r="A20" s="6" t="s">
        <v>23</v>
      </c>
      <c r="B20" s="3" t="s">
        <v>327</v>
      </c>
      <c r="C20" s="13"/>
    </row>
    <row r="21" spans="1:3" s="51" customFormat="1" x14ac:dyDescent="0.25">
      <c r="A21" s="6" t="s">
        <v>23</v>
      </c>
      <c r="B21" s="3" t="s">
        <v>328</v>
      </c>
      <c r="C21" s="13"/>
    </row>
    <row r="22" spans="1:3" s="51" customFormat="1" x14ac:dyDescent="0.25">
      <c r="A22" s="6" t="s">
        <v>23</v>
      </c>
      <c r="B22" s="3" t="s">
        <v>330</v>
      </c>
      <c r="C22" s="13" t="s">
        <v>133</v>
      </c>
    </row>
    <row r="23" spans="1:3" s="51" customFormat="1" x14ac:dyDescent="0.25">
      <c r="A23" s="6" t="s">
        <v>23</v>
      </c>
      <c r="B23" s="3" t="s">
        <v>168</v>
      </c>
      <c r="C23" s="13" t="s">
        <v>30</v>
      </c>
    </row>
    <row r="24" spans="1:3" s="51" customFormat="1" x14ac:dyDescent="0.25">
      <c r="A24" s="6" t="s">
        <v>23</v>
      </c>
      <c r="B24" s="3" t="s">
        <v>169</v>
      </c>
      <c r="C24" s="13"/>
    </row>
    <row r="25" spans="1:3" s="51" customFormat="1" x14ac:dyDescent="0.25">
      <c r="A25" s="6" t="s">
        <v>24</v>
      </c>
      <c r="B25" s="3" t="s">
        <v>170</v>
      </c>
      <c r="C25" s="13"/>
    </row>
    <row r="26" spans="1:3" s="51" customFormat="1" x14ac:dyDescent="0.25">
      <c r="A26" s="6" t="s">
        <v>24</v>
      </c>
      <c r="B26" s="3" t="s">
        <v>171</v>
      </c>
      <c r="C26" s="13"/>
    </row>
    <row r="27" spans="1:3" s="51" customFormat="1" x14ac:dyDescent="0.25">
      <c r="A27" s="6" t="s">
        <v>23</v>
      </c>
      <c r="B27" s="3" t="s">
        <v>172</v>
      </c>
      <c r="C27" s="13"/>
    </row>
    <row r="28" spans="1:3" s="51" customFormat="1" x14ac:dyDescent="0.25">
      <c r="A28" s="6" t="s">
        <v>23</v>
      </c>
      <c r="B28" s="3" t="s">
        <v>173</v>
      </c>
      <c r="C28" s="13"/>
    </row>
    <row r="29" spans="1:3" s="51" customFormat="1" x14ac:dyDescent="0.25">
      <c r="A29" s="6" t="s">
        <v>23</v>
      </c>
      <c r="B29" s="3" t="s">
        <v>174</v>
      </c>
      <c r="C29" s="13"/>
    </row>
    <row r="30" spans="1:3" s="51" customFormat="1" x14ac:dyDescent="0.25">
      <c r="A30" s="6" t="s">
        <v>23</v>
      </c>
      <c r="B30" s="3" t="s">
        <v>175</v>
      </c>
      <c r="C30" s="13"/>
    </row>
    <row r="31" spans="1:3" s="51" customFormat="1" x14ac:dyDescent="0.25">
      <c r="A31" s="6" t="s">
        <v>23</v>
      </c>
      <c r="B31" s="3" t="s">
        <v>176</v>
      </c>
      <c r="C31" s="13"/>
    </row>
    <row r="32" spans="1:3" s="51" customFormat="1" x14ac:dyDescent="0.25">
      <c r="A32" s="6" t="s">
        <v>23</v>
      </c>
      <c r="B32" s="3" t="s">
        <v>177</v>
      </c>
      <c r="C32" s="13"/>
    </row>
    <row r="33" spans="1:3" s="51" customFormat="1" x14ac:dyDescent="0.25">
      <c r="A33" s="6" t="s">
        <v>23</v>
      </c>
      <c r="B33" s="3" t="s">
        <v>178</v>
      </c>
      <c r="C33" s="13"/>
    </row>
    <row r="34" spans="1:3" s="51" customFormat="1" x14ac:dyDescent="0.25">
      <c r="A34" s="6" t="s">
        <v>23</v>
      </c>
      <c r="B34" s="3" t="s">
        <v>179</v>
      </c>
      <c r="C34" s="13"/>
    </row>
    <row r="35" spans="1:3" s="51" customFormat="1" x14ac:dyDescent="0.25">
      <c r="A35" s="6" t="s">
        <v>23</v>
      </c>
      <c r="B35" s="3" t="s">
        <v>180</v>
      </c>
      <c r="C35" s="13"/>
    </row>
    <row r="36" spans="1:3" s="51" customFormat="1" x14ac:dyDescent="0.25">
      <c r="A36" s="6" t="s">
        <v>24</v>
      </c>
      <c r="B36" s="3" t="s">
        <v>181</v>
      </c>
      <c r="C36" s="13"/>
    </row>
    <row r="37" spans="1:3" s="51" customFormat="1" x14ac:dyDescent="0.25">
      <c r="A37" s="6" t="s">
        <v>23</v>
      </c>
      <c r="B37" s="3" t="s">
        <v>182</v>
      </c>
      <c r="C37" s="13"/>
    </row>
    <row r="38" spans="1:3" s="51" customFormat="1" x14ac:dyDescent="0.25">
      <c r="A38" s="4" t="s">
        <v>24</v>
      </c>
      <c r="B38" s="3" t="s">
        <v>86</v>
      </c>
      <c r="C38" s="13" t="s">
        <v>331</v>
      </c>
    </row>
    <row r="39" spans="1:3" s="51" customFormat="1" x14ac:dyDescent="0.25">
      <c r="A39" s="36" t="s">
        <v>23</v>
      </c>
      <c r="B39" s="3" t="s">
        <v>332</v>
      </c>
      <c r="C39" s="13"/>
    </row>
    <row r="40" spans="1:3" s="51" customFormat="1" x14ac:dyDescent="0.25">
      <c r="A40" s="6" t="s">
        <v>23</v>
      </c>
      <c r="B40" s="3" t="s">
        <v>333</v>
      </c>
      <c r="C40" s="13"/>
    </row>
    <row r="41" spans="1:3" s="51" customFormat="1" x14ac:dyDescent="0.25">
      <c r="A41" s="6" t="s">
        <v>23</v>
      </c>
      <c r="B41" s="3" t="s">
        <v>334</v>
      </c>
      <c r="C41" s="13"/>
    </row>
    <row r="42" spans="1:3" s="51" customFormat="1" x14ac:dyDescent="0.25">
      <c r="A42" s="36" t="s">
        <v>23</v>
      </c>
      <c r="B42" s="3" t="s">
        <v>335</v>
      </c>
      <c r="C42" s="13"/>
    </row>
    <row r="43" spans="1:3" s="51" customFormat="1" x14ac:dyDescent="0.25">
      <c r="A43" s="6" t="s">
        <v>24</v>
      </c>
      <c r="B43" s="3" t="s">
        <v>336</v>
      </c>
      <c r="C43" s="13"/>
    </row>
    <row r="44" spans="1:3" s="51" customFormat="1" x14ac:dyDescent="0.25">
      <c r="A44" s="6" t="s">
        <v>24</v>
      </c>
      <c r="B44" s="3" t="s">
        <v>337</v>
      </c>
      <c r="C44" s="13"/>
    </row>
    <row r="45" spans="1:3" s="51" customFormat="1" x14ac:dyDescent="0.25">
      <c r="A45" s="6" t="s">
        <v>24</v>
      </c>
      <c r="B45" s="3" t="s">
        <v>338</v>
      </c>
      <c r="C45" s="13" t="s">
        <v>244</v>
      </c>
    </row>
    <row r="46" spans="1:3" s="51" customFormat="1" x14ac:dyDescent="0.25">
      <c r="A46" s="6" t="s">
        <v>24</v>
      </c>
      <c r="B46" s="3" t="s">
        <v>339</v>
      </c>
      <c r="C46" s="13" t="s">
        <v>340</v>
      </c>
    </row>
  </sheetData>
  <dataValidations count="6"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7">
      <formula1>"IP, OP, SNF, HOP"</formula1>
    </dataValidation>
    <dataValidation type="list" allowBlank="1" showInputMessage="1" showErrorMessage="1" sqref="C22:C23">
      <formula1>"Y, N"</formula1>
    </dataValidation>
    <dataValidation type="list" allowBlank="1" showInputMessage="1" showErrorMessage="1" sqref="C38">
      <formula1>"iCodify, OnCallConsulting, Optum_Hyderabad, Optum_Manila, Optum_Onshore, PI, XL_Health, Optum_Franklin, US_Remote"</formula1>
    </dataValidation>
    <dataValidation type="list" allowBlank="1" showInputMessage="1" showErrorMessage="1" sqref="C46">
      <formula1>"CODREJ"</formula1>
    </dataValidation>
    <dataValidation type="list" allowBlank="1" showInputMessage="1" showErrorMessage="1" sqref="C45">
      <formula1>"E, H, D"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Tool Architecture</vt:lpstr>
      <vt:lpstr>Instructions</vt:lpstr>
      <vt:lpstr>Tool Control</vt:lpstr>
      <vt:lpstr>TestData</vt:lpstr>
      <vt:lpstr>Settings</vt:lpstr>
      <vt:lpstr>RESTATE_MMR</vt:lpstr>
      <vt:lpstr>FLAT_MMR</vt:lpstr>
      <vt:lpstr>HIC_HISTORY</vt:lpstr>
      <vt:lpstr>VRF Data</vt:lpstr>
      <vt:lpstr>STD DX Data</vt:lpstr>
      <vt:lpstr>PAF DX Data</vt:lpstr>
      <vt:lpstr>APPEND DX Data</vt:lpstr>
      <vt:lpstr>AETNA</vt:lpstr>
      <vt:lpstr>CIGNA</vt:lpstr>
      <vt:lpstr>COVENTRY</vt:lpstr>
      <vt:lpstr>ELDERPLAN</vt:lpstr>
      <vt:lpstr>HEALTHNET</vt:lpstr>
      <vt:lpstr>HEALTHPLANS</vt:lpstr>
      <vt:lpstr>HMSA</vt:lpstr>
      <vt:lpstr>MEDICA</vt:lpstr>
      <vt:lpstr>MOUNTCARMEL</vt:lpstr>
      <vt:lpstr>NAMM</vt:lpstr>
      <vt:lpstr>TUFTS</vt:lpstr>
      <vt:lpstr>UCARE</vt:lpstr>
      <vt:lpstr>UHCCS</vt:lpstr>
      <vt:lpstr>UHCMR</vt:lpstr>
      <vt:lpstr>UOV</vt:lpstr>
      <vt:lpstr>WINDSOR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2014-11-26T21:18:41Z</dcterms:modified>
</cp:coreProperties>
</file>