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3465" windowWidth="15195" windowHeight="4260" firstSheet="1" activeTab="4"/>
  </bookViews>
  <sheets>
    <sheet name="Tool Architecture" sheetId="6" state="hidden" r:id="rId1"/>
    <sheet name="Instructions" sheetId="4" r:id="rId2"/>
    <sheet name="Tool Control" sheetId="1" r:id="rId3"/>
    <sheet name="Settings" sheetId="5" r:id="rId4"/>
    <sheet name="Project Data" sheetId="2" r:id="rId5"/>
    <sheet name="VRF Data" sheetId="3" r:id="rId6"/>
    <sheet name="STD DX Data" sheetId="7" r:id="rId7"/>
    <sheet name="PAF DX Data" sheetId="8" r:id="rId8"/>
    <sheet name="APPEND DX Data" sheetId="9" r:id="rId9"/>
  </sheets>
  <functionGroups builtInGroupCount="17"/>
  <calcPr calcId="145621"/>
</workbook>
</file>

<file path=xl/calcChain.xml><?xml version="1.0" encoding="utf-8"?>
<calcChain xmlns="http://schemas.openxmlformats.org/spreadsheetml/2006/main">
  <c r="C54" i="7" l="1"/>
  <c r="D65" i="8" l="1"/>
  <c r="D57" i="8"/>
  <c r="D44" i="8"/>
  <c r="D43" i="8"/>
  <c r="D42" i="8"/>
  <c r="D41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3" i="8"/>
  <c r="D2" i="8"/>
  <c r="D109" i="2" l="1"/>
  <c r="D108" i="2"/>
</calcChain>
</file>

<file path=xl/comments1.xml><?xml version="1.0" encoding="utf-8"?>
<comments xmlns="http://schemas.openxmlformats.org/spreadsheetml/2006/main">
  <authors>
    <author>Choletti, Govardhan (Cognizant)</author>
  </authors>
  <commentList>
    <comment ref="A17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Project Review Type is PAF, COI, CAPE, PAF_HQ or HQPAF then it is required</t>
        </r>
      </text>
    </comment>
    <comment ref="A40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Provider Last Name populated.  Optional otherwise.   If Provider Last Name populated, must be a valid code.</t>
        </r>
      </text>
    </comment>
    <comment ref="A41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SNF, HOSP, HOSP/PROF</t>
        </r>
      </text>
    </comment>
    <comment ref="A42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PROF/MED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Project Key that will be associated to an existing PAF project in the system. 
** PAF, COI, CAPE, PAF_HQ or HQPAF then it is required</t>
        </r>
      </text>
    </comment>
    <comment ref="A60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Unique ID for this member/provider combination.  
**PAF, COI, CAPE, PAF_HQ or HQPAF then it is required</t>
        </r>
      </text>
    </comment>
    <comment ref="A86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If EMR value is Y then it is required</t>
        </r>
      </text>
    </comment>
    <comment ref="A87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If missing, reject file.
Required for chart review projects (HDR-8 = STD, ENH)
</t>
        </r>
      </text>
    </comment>
    <comment ref="A89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MM/DD/YYYY.  If not a valid format reject file.  End date must be greater than or equal to start date.
If there is a value in DOS_Retrieval_Start, there must be a value in DOS_Retrieval_End.
</t>
        </r>
      </text>
    </comment>
    <comment ref="A91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If missing, reject file.
Required for chart review projects (HDR-8 = STD, ENH)
</t>
        </r>
      </text>
    </comment>
  </commentList>
</comments>
</file>

<file path=xl/comments2.xml><?xml version="1.0" encoding="utf-8"?>
<comments xmlns="http://schemas.openxmlformats.org/spreadsheetml/2006/main">
  <authors>
    <author>Choletti, Govardhan (Cognizant)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 xml:space="preserve">Segment Identifier.  </t>
        </r>
        <r>
          <rPr>
            <sz val="9"/>
            <color indexed="81"/>
            <rFont val="Tahoma"/>
            <family val="2"/>
          </rPr>
          <t xml:space="preserve">
Valid Values:   ‘AAA’ 
A/N(3)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Must be ‘AAA’ or entire file will reject.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 xml:space="preserve">Segment sequence id.  
</t>
        </r>
        <r>
          <rPr>
            <sz val="9"/>
            <color indexed="81"/>
            <rFont val="Tahoma"/>
            <family val="2"/>
          </rPr>
          <t>A running sequence for every ‘AAA’ segment in the file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>N(9)</t>
        </r>
        <r>
          <rPr>
            <b/>
            <sz val="9"/>
            <color indexed="81"/>
            <rFont val="Tahoma"/>
            <family val="2"/>
          </rPr>
          <t xml:space="preserve"> O 
</t>
        </r>
        <r>
          <rPr>
            <sz val="9"/>
            <color indexed="81"/>
            <rFont val="Tahoma"/>
            <family val="2"/>
          </rPr>
          <t xml:space="preserve">Reserved for future use.
</t>
        </r>
      </text>
    </comment>
    <comment ref="B4" authorId="0">
      <text>
        <r>
          <rPr>
            <sz val="9"/>
            <color indexed="81"/>
            <rFont val="Tahoma"/>
            <family val="2"/>
          </rPr>
          <t xml:space="preserve">Repeats for each ‘AAA’ segment in the file. 
N(9) </t>
        </r>
        <r>
          <rPr>
            <b/>
            <sz val="9"/>
            <color indexed="81"/>
            <rFont val="Tahoma"/>
            <family val="2"/>
          </rPr>
          <t>O</t>
        </r>
        <r>
          <rPr>
            <sz val="9"/>
            <color indexed="81"/>
            <rFont val="Tahoma"/>
            <family val="2"/>
          </rPr>
          <t xml:space="preserve"> 
Client file Identifier.  Reserved for future use.  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Transaction Date</t>
        </r>
        <r>
          <rPr>
            <sz val="9"/>
            <color indexed="81"/>
            <rFont val="Tahoma"/>
            <family val="2"/>
          </rPr>
          <t xml:space="preserve">
Repeats for each ‘AAA’ segment in the file. 
DATE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 
Timestamp of when this file was created.  MM/DD/YYYY:HHMMSS.  Entire file will reject if timestamp is not populated.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Project ID</t>
        </r>
        <r>
          <rPr>
            <sz val="9"/>
            <color indexed="81"/>
            <rFont val="Tahoma"/>
            <family val="2"/>
          </rPr>
          <t xml:space="preserve"> 
Unique Project Identifier 
A/N(15)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
This Does not need to match a project in ChartSync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Project Name</t>
        </r>
        <r>
          <rPr>
            <sz val="9"/>
            <color indexed="81"/>
            <rFont val="Tahoma"/>
            <family val="2"/>
          </rPr>
          <t xml:space="preserve"> 
Name of this Chart Review  
A/N (50)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
This Does not need to match a project in ChartSync
</t>
        </r>
      </text>
    </comment>
  </commentList>
</comments>
</file>

<file path=xl/comments3.xml><?xml version="1.0" encoding="utf-8"?>
<comments xmlns="http://schemas.openxmlformats.org/spreadsheetml/2006/main">
  <authors>
    <author>Choletti, Govardhan (Cognizant)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Project ID</t>
        </r>
        <r>
          <rPr>
            <sz val="9"/>
            <color indexed="81"/>
            <rFont val="Tahoma"/>
            <family val="2"/>
          </rPr>
          <t xml:space="preserve">
Unique Project Identifier
A/N(15)
This  needs to match a project in ChartSync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Barcode ID</t>
        </r>
        <r>
          <rPr>
            <sz val="9"/>
            <color indexed="81"/>
            <rFont val="Tahoma"/>
            <family val="2"/>
          </rPr>
          <t xml:space="preserve">
Unique ID for this member/provider combination.  
A/N (100)
Must match a valid barcode record in the ChartSync system for this project.  Otherwise, fail this record/barcode  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 xml:space="preserve">From Date of Service :
</t>
        </r>
        <r>
          <rPr>
            <sz val="9"/>
            <color indexed="81"/>
            <rFont val="Tahoma"/>
            <family val="2"/>
          </rPr>
          <t xml:space="preserve">From Date of Service
DATE
MM/DD/YYYY.  If invalid format, fail this record/barcode  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Thru Date of Service</t>
        </r>
        <r>
          <rPr>
            <sz val="9"/>
            <color indexed="81"/>
            <rFont val="Tahoma"/>
            <family val="2"/>
          </rPr>
          <t xml:space="preserve">
DATE
MM/DD/YYYY.  If invalid format, fail this record/barcode.
End date must be greater than or equal to start date.  Otherwise, reject Barcode 
If date is 2099, change to 12/31/1999 , do not perform a validation on ICD value. 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Encounter key</t>
        </r>
        <r>
          <rPr>
            <sz val="9"/>
            <color indexed="81"/>
            <rFont val="Tahoma"/>
            <family val="2"/>
          </rPr>
          <t xml:space="preserve">
Ops’s unique key
A/N(9)
Up to 9 characters (may be 8) 
This field is not needed from the external vendor APPENDDX file.</t>
        </r>
      </text>
    </comment>
  </commentList>
</comments>
</file>

<file path=xl/sharedStrings.xml><?xml version="1.0" encoding="utf-8"?>
<sst xmlns="http://schemas.openxmlformats.org/spreadsheetml/2006/main" count="1555" uniqueCount="629">
  <si>
    <t>Field Type</t>
  </si>
  <si>
    <t>Field Name</t>
  </si>
  <si>
    <t>Segment Identifier</t>
  </si>
  <si>
    <t>Project Name</t>
  </si>
  <si>
    <t>Project Organization</t>
  </si>
  <si>
    <t>Project Source</t>
  </si>
  <si>
    <t>Project Requestor User ID</t>
  </si>
  <si>
    <t>Project Requestor Last Name</t>
  </si>
  <si>
    <t>Project Requestor First Name</t>
  </si>
  <si>
    <t>Project Review Type</t>
  </si>
  <si>
    <t>Project  Provider Type</t>
  </si>
  <si>
    <t>Expected Project Start Date</t>
  </si>
  <si>
    <t>Expected Project End Date</t>
  </si>
  <si>
    <t>Project Review Start Date</t>
  </si>
  <si>
    <t>Project Review End Date</t>
  </si>
  <si>
    <t>Project Retrieval Vendor</t>
  </si>
  <si>
    <t>Project Coding Vendor</t>
  </si>
  <si>
    <t>HDR</t>
  </si>
  <si>
    <t>Project Member Type</t>
  </si>
  <si>
    <t>Project Comments</t>
  </si>
  <si>
    <t>Sequence Number</t>
  </si>
  <si>
    <t>Member ID</t>
  </si>
  <si>
    <t>Member HIC Number</t>
  </si>
  <si>
    <t>Member Last Name</t>
  </si>
  <si>
    <t>Member First Name</t>
  </si>
  <si>
    <t>Member Middle Initial</t>
  </si>
  <si>
    <t>Member State</t>
  </si>
  <si>
    <t>Member Health Plan</t>
  </si>
  <si>
    <t>Health Plan Product</t>
  </si>
  <si>
    <t>DTL</t>
  </si>
  <si>
    <t>Member Contract</t>
  </si>
  <si>
    <t>Member PBP</t>
  </si>
  <si>
    <t>Member LOB</t>
  </si>
  <si>
    <t>Member Eligibility Start Date</t>
  </si>
  <si>
    <t>Member Eligibility End Date</t>
  </si>
  <si>
    <t>Member Gender</t>
  </si>
  <si>
    <t>Member DOB</t>
  </si>
  <si>
    <t>Member Suspected Conditions</t>
  </si>
  <si>
    <t>Source System Provider ID</t>
  </si>
  <si>
    <t>Provider 360 ID</t>
  </si>
  <si>
    <t>Provider NPI</t>
  </si>
  <si>
    <t>Facility Name</t>
  </si>
  <si>
    <t>Provider Last Name</t>
  </si>
  <si>
    <t>Provider First Name</t>
  </si>
  <si>
    <t>Provider Address 1</t>
  </si>
  <si>
    <t>Provider Address 2</t>
  </si>
  <si>
    <t>Provider City</t>
  </si>
  <si>
    <t>Provider State</t>
  </si>
  <si>
    <t>Provider ZIP</t>
  </si>
  <si>
    <t>Provider Phone</t>
  </si>
  <si>
    <t>Provider Fax</t>
  </si>
  <si>
    <t>Provider Email Address</t>
  </si>
  <si>
    <t>Capitated Provider</t>
  </si>
  <si>
    <t>Provider Group ID</t>
  </si>
  <si>
    <t>Provider Group ID Type</t>
  </si>
  <si>
    <t>Provider Group Name</t>
  </si>
  <si>
    <t>Provider Office/Group Contact Last Name</t>
  </si>
  <si>
    <t>Provider Office/Group Contact First Name</t>
  </si>
  <si>
    <t>Project Content Comments</t>
  </si>
  <si>
    <t>DTL Count</t>
  </si>
  <si>
    <t>TRA</t>
  </si>
  <si>
    <t>Data_Field-1</t>
  </si>
  <si>
    <t>Field Selection</t>
  </si>
  <si>
    <t>Have</t>
  </si>
  <si>
    <t>Don't Have</t>
  </si>
  <si>
    <t>INGENIX</t>
  </si>
  <si>
    <t>00000</t>
  </si>
  <si>
    <t>A</t>
  </si>
  <si>
    <t>H1023</t>
  </si>
  <si>
    <t>1</t>
  </si>
  <si>
    <t>12/31/9999</t>
  </si>
  <si>
    <t>03/07/1987</t>
  </si>
  <si>
    <t>AutoProvLName</t>
  </si>
  <si>
    <t>AutoProvFName</t>
  </si>
  <si>
    <t>Texas</t>
  </si>
  <si>
    <t>Auto@Template.Creator</t>
  </si>
  <si>
    <t>Y</t>
  </si>
  <si>
    <t>Auto007</t>
  </si>
  <si>
    <t>AutoProvGrpName</t>
  </si>
  <si>
    <t>AutoProvGrpLName</t>
  </si>
  <si>
    <t>AutoProvGrpFName</t>
  </si>
  <si>
    <t>Auto Project HDR Comments</t>
  </si>
  <si>
    <t>Auto Project DTL Comments</t>
  </si>
  <si>
    <t>INGENIXCAS</t>
  </si>
  <si>
    <t>10</t>
  </si>
  <si>
    <t>NV</t>
  </si>
  <si>
    <t>S.No</t>
  </si>
  <si>
    <t>Field Value</t>
  </si>
  <si>
    <t>DB_HOST</t>
  </si>
  <si>
    <t>DB_DATABASE</t>
  </si>
  <si>
    <t>DB_USERNAME</t>
  </si>
  <si>
    <t>DB_PASSWORD</t>
  </si>
  <si>
    <t>DB_PORT</t>
  </si>
  <si>
    <t>1521</t>
  </si>
  <si>
    <t>DB_CHARTFILEQUERY</t>
  </si>
  <si>
    <t>PROJ_PROJFILENAME</t>
  </si>
  <si>
    <t>CHART_PROJFILENAME</t>
  </si>
  <si>
    <t>LOADCR</t>
  </si>
  <si>
    <t>CHART_CHARTFILENAME</t>
  </si>
  <si>
    <t>chart</t>
  </si>
  <si>
    <t>DB_CHARTCNTQUERY</t>
  </si>
  <si>
    <t>prjreqrtest141</t>
  </si>
  <si>
    <t>test</t>
  </si>
  <si>
    <t>prjreqr141</t>
  </si>
  <si>
    <t>Project Id</t>
  </si>
  <si>
    <t>Chart Id</t>
  </si>
  <si>
    <t>Chart Review Contact First name</t>
  </si>
  <si>
    <t>Chart Review Contact Last name</t>
  </si>
  <si>
    <t>Chart Review Contact Address1</t>
  </si>
  <si>
    <t>Chart Review Contact Address2</t>
  </si>
  <si>
    <t>Chart Review Contact City</t>
  </si>
  <si>
    <t>Chart Review Contact State</t>
  </si>
  <si>
    <t>Chart Review Contact Zip</t>
  </si>
  <si>
    <t>Chart Review Contact Phone</t>
  </si>
  <si>
    <t>Chart Review Letter Contact  First name</t>
  </si>
  <si>
    <t>Chart Review Letter Contact  Last name</t>
  </si>
  <si>
    <t>Chart Review Letter Contact Address1</t>
  </si>
  <si>
    <t>Chart Review Letter Contact Address2</t>
  </si>
  <si>
    <t>Chart Review Letter Contact City</t>
  </si>
  <si>
    <t>Chart Review Letter Contact State</t>
  </si>
  <si>
    <t>Chart Review Letter Contact Zip</t>
  </si>
  <si>
    <t>Chart Review Letter Contact Phone</t>
  </si>
  <si>
    <t>EMR</t>
  </si>
  <si>
    <t>EMR Name</t>
  </si>
  <si>
    <t>CR Year</t>
  </si>
  <si>
    <t>DOS_Retrieval _Start</t>
  </si>
  <si>
    <t>DOS_Retrieval_End</t>
  </si>
  <si>
    <t>On-Site Coding</t>
  </si>
  <si>
    <t>Client Tier</t>
  </si>
  <si>
    <t>Optum Tier</t>
  </si>
  <si>
    <t>Suspect Category</t>
  </si>
  <si>
    <t>Historical Site ID</t>
  </si>
  <si>
    <t>Ops Provider Key</t>
  </si>
  <si>
    <t>Supergrouper ID</t>
  </si>
  <si>
    <t>Megagrouper ID</t>
  </si>
  <si>
    <t>Group TIN</t>
  </si>
  <si>
    <t>Chart Retrieval Contact First name</t>
  </si>
  <si>
    <t xml:space="preserve">Chart Ops_InternalProjectID </t>
  </si>
  <si>
    <t>Chart Retrieval Contact Last name</t>
  </si>
  <si>
    <t>Chart Retrieval Contact Address1</t>
  </si>
  <si>
    <t>Chart Retrieval Contact Address2</t>
  </si>
  <si>
    <t>Chart Retrieval Contact City</t>
  </si>
  <si>
    <t>Chart Retrieval Contact State</t>
  </si>
  <si>
    <t>Chart Retrieval Contact Zip</t>
  </si>
  <si>
    <t>Chart Retrieval Contact Phone</t>
  </si>
  <si>
    <t>AutoChrtContFName</t>
  </si>
  <si>
    <t>AutoChrtContLName</t>
  </si>
  <si>
    <t>AutoChrtContAdd1</t>
  </si>
  <si>
    <t>AutoChrtContAdd2</t>
  </si>
  <si>
    <t>CA</t>
  </si>
  <si>
    <t>California</t>
  </si>
  <si>
    <t>AutoChrtLetterContFName</t>
  </si>
  <si>
    <t>AutoChrtLetterContLName</t>
  </si>
  <si>
    <t>AutoChrtLetterContAdd1</t>
  </si>
  <si>
    <t>AutoChrtLetterContAdd2</t>
  </si>
  <si>
    <t>Washington</t>
  </si>
  <si>
    <t>AutoChrtRetContFName</t>
  </si>
  <si>
    <t>AutoChrtRetContLName</t>
  </si>
  <si>
    <t>AutoChrtRetContAdd1</t>
  </si>
  <si>
    <t>AutoChrtRetContAdd2</t>
  </si>
  <si>
    <t>Los Angeles</t>
  </si>
  <si>
    <t>AutoEMRName</t>
  </si>
  <si>
    <t>06/06/2012</t>
  </si>
  <si>
    <t>AutoSusCat</t>
  </si>
  <si>
    <t>AutoGrp10</t>
  </si>
  <si>
    <t>004,006</t>
  </si>
  <si>
    <t>External system id</t>
  </si>
  <si>
    <t>AutoChPrID</t>
  </si>
  <si>
    <t>Project ID</t>
  </si>
  <si>
    <t>Chart ID</t>
  </si>
  <si>
    <t>Form Type</t>
  </si>
  <si>
    <t>MemberHIC</t>
  </si>
  <si>
    <t>MemberFirst Name</t>
  </si>
  <si>
    <t>MemberMiddle Initial</t>
  </si>
  <si>
    <t>MemberLast Name</t>
  </si>
  <si>
    <t>Membe DOB</t>
  </si>
  <si>
    <t>Source</t>
  </si>
  <si>
    <t>LOB</t>
  </si>
  <si>
    <t>Site CD</t>
  </si>
  <si>
    <t>Provider ID</t>
  </si>
  <si>
    <t>Provider Specialty</t>
  </si>
  <si>
    <t>Beg Service Date</t>
  </si>
  <si>
    <t>End Service Date</t>
  </si>
  <si>
    <t>Prim DX</t>
  </si>
  <si>
    <t>ICD-9_Code</t>
  </si>
  <si>
    <t>HCC Code</t>
  </si>
  <si>
    <t>RXHCC Code</t>
  </si>
  <si>
    <t>Error Code 1</t>
  </si>
  <si>
    <t>Error Code Description 1</t>
  </si>
  <si>
    <t>Error Code 2</t>
  </si>
  <si>
    <t>Error Code Description 2</t>
  </si>
  <si>
    <t>Error Code 3</t>
  </si>
  <si>
    <t>Error Code Description 3</t>
  </si>
  <si>
    <t>Payment</t>
  </si>
  <si>
    <t>Run Date</t>
  </si>
  <si>
    <t>Market Outreach Rep</t>
  </si>
  <si>
    <t>Payment Check Box1</t>
  </si>
  <si>
    <t>Payment Check Box2</t>
  </si>
  <si>
    <t>Payment Check Box3</t>
  </si>
  <si>
    <t>Payment Check Box4</t>
  </si>
  <si>
    <t>Payment Check Box5</t>
  </si>
  <si>
    <t>Payment Note</t>
  </si>
  <si>
    <t>Last Chart Status</t>
  </si>
  <si>
    <t>Insite Group Id</t>
  </si>
  <si>
    <t>Insite Group Name</t>
  </si>
  <si>
    <t>Plan Code</t>
  </si>
  <si>
    <t>Review Type</t>
  </si>
  <si>
    <t>Coded On</t>
  </si>
  <si>
    <t>Coded By</t>
  </si>
  <si>
    <t>Client Request Id</t>
  </si>
  <si>
    <t>Pass Validation</t>
  </si>
  <si>
    <t>Manual Change</t>
  </si>
  <si>
    <t>EO_Code_Changed</t>
  </si>
  <si>
    <t>Notes</t>
  </si>
  <si>
    <t>DX_PAFFILENAME</t>
  </si>
  <si>
    <t>EDX</t>
  </si>
  <si>
    <t>Member Address 1</t>
  </si>
  <si>
    <t>Member Address 2</t>
  </si>
  <si>
    <t>Member City</t>
  </si>
  <si>
    <t>Member Zip</t>
  </si>
  <si>
    <t>AnyThing</t>
  </si>
  <si>
    <t>50.01</t>
  </si>
  <si>
    <t>02/03/2011</t>
  </si>
  <si>
    <t>Apollo Hospitals</t>
  </si>
  <si>
    <t>True</t>
  </si>
  <si>
    <t>False</t>
  </si>
  <si>
    <t>Star Care Hospitals</t>
  </si>
  <si>
    <t>Received</t>
  </si>
  <si>
    <t>InsiteGP123654</t>
  </si>
  <si>
    <t>InsiteGP Name</t>
  </si>
  <si>
    <t>HP No 123</t>
  </si>
  <si>
    <t>04/05/2011</t>
  </si>
  <si>
    <t>Autouser210</t>
  </si>
  <si>
    <t>Client ID</t>
  </si>
  <si>
    <t>Comment Section</t>
  </si>
  <si>
    <t xml:space="preserve">Project Data </t>
  </si>
  <si>
    <t>AutoMemAdd1</t>
  </si>
  <si>
    <t>AutoMemAdd2</t>
  </si>
  <si>
    <t>CF</t>
  </si>
  <si>
    <t>DB_ECHARTFILEQUERY</t>
  </si>
  <si>
    <t>DB_ECHARTCNTQUERY</t>
  </si>
  <si>
    <t>CHART_ECHARTFILENAME</t>
  </si>
  <si>
    <t>32345</t>
  </si>
  <si>
    <t>111-123-1231</t>
  </si>
  <si>
    <t>08</t>
  </si>
  <si>
    <t>echart_CF</t>
  </si>
  <si>
    <t>9120009999</t>
  </si>
  <si>
    <t>ravst02svc.uhc.com</t>
  </si>
  <si>
    <t>orasvcdbsl8025</t>
  </si>
  <si>
    <t xml:space="preserve">SELECT A.External_Chart_Id
FROM ravas.rv_proj_content A
WHERE A.External_Chart_Id &lt;&gt; 'NULL' AND a.retrieval_request_status IN ('RELEASED','RECVD') AND A.proj_key = </t>
  </si>
  <si>
    <t>SELECT COUNT(*) FROM ravas.rv_proj_content A
WHERE A.External_Chart_Id &lt;&gt; 'NULL' AND a.retrieval_request_status = 'RELEASED' AND A.proj_key =</t>
  </si>
  <si>
    <t xml:space="preserve"> </t>
  </si>
  <si>
    <t>Barcode ID</t>
  </si>
  <si>
    <t>Status</t>
  </si>
  <si>
    <t>Status Update Date</t>
  </si>
  <si>
    <t>Retrieved By Last Name</t>
  </si>
  <si>
    <t>Retrieved By First Name</t>
  </si>
  <si>
    <t>PNP Code</t>
  </si>
  <si>
    <t>Reject E&amp;O Code</t>
  </si>
  <si>
    <t>Image Status</t>
  </si>
  <si>
    <t>Comments</t>
  </si>
  <si>
    <t>Scheduled date</t>
  </si>
  <si>
    <t>Reduction Approved</t>
  </si>
  <si>
    <t>Onsite coding conducted</t>
  </si>
  <si>
    <t>Retrieval Vendor Site ID</t>
  </si>
  <si>
    <t>Retrieval Method</t>
  </si>
  <si>
    <t>Payment  Requested</t>
  </si>
  <si>
    <t>Payment Approved</t>
  </si>
  <si>
    <t>Payment Amount</t>
  </si>
  <si>
    <t>RETVD</t>
  </si>
  <si>
    <t>PNP3</t>
  </si>
  <si>
    <t>IMGNX</t>
  </si>
  <si>
    <t>N</t>
  </si>
  <si>
    <t>37145.00</t>
  </si>
  <si>
    <t>Field-CNA</t>
  </si>
  <si>
    <t>Field-PNP</t>
  </si>
  <si>
    <t>Field-RETVD</t>
  </si>
  <si>
    <t>Field-SENT</t>
  </si>
  <si>
    <t>Field-INTAKEREJ</t>
  </si>
  <si>
    <t>Field-CODINGREJ</t>
  </si>
  <si>
    <t>Field-PNPREL</t>
  </si>
  <si>
    <t>Field-SCHEDULED</t>
  </si>
  <si>
    <t>Field-CANCELLED</t>
  </si>
  <si>
    <t>Field-RELEASED</t>
  </si>
  <si>
    <t>CNA</t>
  </si>
  <si>
    <t>PNP</t>
  </si>
  <si>
    <t>SENT</t>
  </si>
  <si>
    <t>INTAKEREJ</t>
  </si>
  <si>
    <t>CODINGREJ</t>
  </si>
  <si>
    <t>PNPRELEASE</t>
  </si>
  <si>
    <t>SCHEDULED</t>
  </si>
  <si>
    <t>CANCELED</t>
  </si>
  <si>
    <t>RELEASED</t>
  </si>
  <si>
    <t>SNF</t>
  </si>
  <si>
    <t>AUTOPROV360ID</t>
  </si>
  <si>
    <t>TEXAS</t>
  </si>
  <si>
    <t>20</t>
  </si>
  <si>
    <t>Provider Specialty Code</t>
  </si>
  <si>
    <t>DEC</t>
  </si>
  <si>
    <t>10/10/2013</t>
  </si>
  <si>
    <t>12/12/2013</t>
  </si>
  <si>
    <t>09/01/2013</t>
  </si>
  <si>
    <t>ALLMEMBERS</t>
  </si>
  <si>
    <t>06/01/2010</t>
  </si>
  <si>
    <t>M</t>
  </si>
  <si>
    <t>TO DOOR NO  02401</t>
  </si>
  <si>
    <t>TO 6 OAK STRET</t>
  </si>
  <si>
    <t>Record ID</t>
  </si>
  <si>
    <t>File ID</t>
  </si>
  <si>
    <t>Transaction Date</t>
  </si>
  <si>
    <t>From Date of Service</t>
  </si>
  <si>
    <t>Thru Date of Service</t>
  </si>
  <si>
    <t>Service Type</t>
  </si>
  <si>
    <t>E&amp;O 1</t>
  </si>
  <si>
    <t>E&amp;O 2</t>
  </si>
  <si>
    <t>E&amp;O 3</t>
  </si>
  <si>
    <t>Page Number</t>
  </si>
  <si>
    <t>Rendering = Retrieval</t>
  </si>
  <si>
    <t>Rendering Provider NPI</t>
  </si>
  <si>
    <t>Rendering Provider First Name</t>
  </si>
  <si>
    <t>Rendering Provider Middle Initial</t>
  </si>
  <si>
    <t>Rendering Provider Last Name</t>
  </si>
  <si>
    <t>Rendering Provider Group Name</t>
  </si>
  <si>
    <t>Rendering Provider Address 1</t>
  </si>
  <si>
    <t>Rendering Provider Address 2</t>
  </si>
  <si>
    <t>Rendering Provider City</t>
  </si>
  <si>
    <t>Rendering Provider State</t>
  </si>
  <si>
    <t>Rendering Provider Zip</t>
  </si>
  <si>
    <t>Rendering Provider Phone</t>
  </si>
  <si>
    <t>Rendering Provider Fax</t>
  </si>
  <si>
    <t>Rendering Provider Email</t>
  </si>
  <si>
    <t>Rendering Provider Specialty</t>
  </si>
  <si>
    <t>ICD-9</t>
  </si>
  <si>
    <t>Primary Indicator</t>
  </si>
  <si>
    <t>DDD Record Total</t>
  </si>
  <si>
    <t>CCC Record Total</t>
  </si>
  <si>
    <t>BBB Record Total</t>
  </si>
  <si>
    <t>AAA Record Total</t>
  </si>
  <si>
    <t>AAA</t>
  </si>
  <si>
    <t>BBB</t>
  </si>
  <si>
    <t>CCC</t>
  </si>
  <si>
    <t>DDD</t>
  </si>
  <si>
    <t>WWW</t>
  </si>
  <si>
    <t>XXX</t>
  </si>
  <si>
    <t>YYY</t>
  </si>
  <si>
    <t>ZZZ</t>
  </si>
  <si>
    <t>123456789</t>
  </si>
  <si>
    <t>987654321</t>
  </si>
  <si>
    <t>PAFID</t>
  </si>
  <si>
    <t>OP_23</t>
  </si>
  <si>
    <t>DX</t>
  </si>
  <si>
    <t>DB_STDDXFILENAME</t>
  </si>
  <si>
    <t>DB_STDDXPROJFILENAME</t>
  </si>
  <si>
    <t>DB_STDDXQUERY</t>
  </si>
  <si>
    <t>&lt;Will Fetch From DB&gt;</t>
  </si>
  <si>
    <t>OP</t>
  </si>
  <si>
    <t>1234567890</t>
  </si>
  <si>
    <t>9876543210</t>
  </si>
  <si>
    <t xml:space="preserve">Tool Prov First Name </t>
  </si>
  <si>
    <t>T</t>
  </si>
  <si>
    <t xml:space="preserve">Tool Prov Last Name </t>
  </si>
  <si>
    <t xml:space="preserve">Tool Prov Group Name </t>
  </si>
  <si>
    <t>Tool Prov Address 1</t>
  </si>
  <si>
    <t>Tool Prov Address 2</t>
  </si>
  <si>
    <t>Tool Prov City</t>
  </si>
  <si>
    <t>55555-5555</t>
  </si>
  <si>
    <t>7202608400</t>
  </si>
  <si>
    <t>9291511170</t>
  </si>
  <si>
    <t>E-mail@ChartSync.Tool</t>
  </si>
  <si>
    <t>01</t>
  </si>
  <si>
    <t>250.00</t>
  </si>
  <si>
    <t>&lt;Will Calculate From Inputs&gt;</t>
  </si>
  <si>
    <t>Data_Field-2</t>
  </si>
  <si>
    <t>Data_Field-3</t>
  </si>
  <si>
    <t>Data_Field-4</t>
  </si>
  <si>
    <t>Data_Field-5</t>
  </si>
  <si>
    <t>Data_Field-6</t>
  </si>
  <si>
    <t>Data_Field-7</t>
  </si>
  <si>
    <t>Data_Field-8</t>
  </si>
  <si>
    <t>417.1</t>
  </si>
  <si>
    <t>01/01/2012</t>
  </si>
  <si>
    <t>Data_Field-9</t>
  </si>
  <si>
    <t>Data_Field-10</t>
  </si>
  <si>
    <t>01/11/2012</t>
  </si>
  <si>
    <t>255.0</t>
  </si>
  <si>
    <t>11/27/2012:135249</t>
  </si>
  <si>
    <t>GUIDELINES TO RUN THE CHARTSYNC TOOL</t>
  </si>
  <si>
    <t>INTRODUCTION</t>
  </si>
  <si>
    <t>This Tool is Designed to generate different types of templates (Project Load, Chart Load, VRF Templaet, DX Inbound….) using an Excel Macro</t>
  </si>
  <si>
    <t>SETTINGS</t>
  </si>
  <si>
    <t>RUN TOOL</t>
  </si>
  <si>
    <r>
      <t xml:space="preserve">Navigate to Worksheet </t>
    </r>
    <r>
      <rPr>
        <b/>
        <sz val="11"/>
        <color rgb="FF00B050"/>
        <rFont val="Calibri"/>
        <family val="2"/>
        <scheme val="minor"/>
      </rPr>
      <t>Tool Control</t>
    </r>
    <r>
      <rPr>
        <sz val="11"/>
        <color theme="1"/>
        <rFont val="Calibri"/>
        <family val="2"/>
        <scheme val="minor"/>
      </rPr>
      <t xml:space="preserve"> and Click on "ChartSync Tool" ==&gt; This will Enable a small Window and desired operation can be performed to generate the Templates</t>
    </r>
  </si>
  <si>
    <t>OTHER SHEETS</t>
  </si>
  <si>
    <r>
      <t xml:space="preserve">Project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Project Load</t>
    </r>
    <r>
      <rPr>
        <sz val="11"/>
        <color theme="1"/>
        <rFont val="Calibri"/>
        <family val="2"/>
        <scheme val="minor"/>
      </rPr>
      <t xml:space="preserve"> Templates and correspondingly Input data can be adjusted</t>
    </r>
  </si>
  <si>
    <r>
      <t xml:space="preserve">VRF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Vendor Response</t>
    </r>
    <r>
      <rPr>
        <sz val="11"/>
        <color theme="1"/>
        <rFont val="Calibri"/>
        <family val="2"/>
        <scheme val="minor"/>
      </rPr>
      <t xml:space="preserve"> Templates and correspondingly Input data can be adjusted</t>
    </r>
  </si>
  <si>
    <r>
      <t xml:space="preserve">STD DX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DX Inbound</t>
    </r>
    <r>
      <rPr>
        <sz val="11"/>
        <color theme="1"/>
        <rFont val="Calibri"/>
        <family val="2"/>
        <scheme val="minor"/>
      </rPr>
      <t xml:space="preserve"> Templates for </t>
    </r>
    <r>
      <rPr>
        <u val="double"/>
        <sz val="11"/>
        <color theme="1"/>
        <rFont val="Calibri"/>
        <family val="2"/>
        <scheme val="minor"/>
      </rPr>
      <t>STD/ENH/RADV</t>
    </r>
    <r>
      <rPr>
        <sz val="11"/>
        <color theme="1"/>
        <rFont val="Calibri"/>
        <family val="2"/>
        <scheme val="minor"/>
      </rPr>
      <t xml:space="preserve"> Project Review Types and correspondingly Input data can be adjusted</t>
    </r>
  </si>
  <si>
    <r>
      <t xml:space="preserve">PAF DX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DX Inbound</t>
    </r>
    <r>
      <rPr>
        <sz val="11"/>
        <color theme="1"/>
        <rFont val="Calibri"/>
        <family val="2"/>
        <scheme val="minor"/>
      </rPr>
      <t xml:space="preserve"> Templates for </t>
    </r>
    <r>
      <rPr>
        <u val="double"/>
        <sz val="11"/>
        <color theme="1"/>
        <rFont val="Calibri"/>
        <family val="2"/>
        <scheme val="minor"/>
      </rPr>
      <t>PAF/CAPE/COI/HQPAF/PAF_HQ</t>
    </r>
    <r>
      <rPr>
        <sz val="11"/>
        <color theme="1"/>
        <rFont val="Calibri"/>
        <family val="2"/>
        <scheme val="minor"/>
      </rPr>
      <t xml:space="preserve"> Project Review Types and correspondingly Input data can be adjusted</t>
    </r>
  </si>
  <si>
    <t>PROCEDURE</t>
  </si>
  <si>
    <t>Generate Project Template</t>
  </si>
  <si>
    <t>Password</t>
  </si>
  <si>
    <t>Icognizant</t>
  </si>
  <si>
    <t>ChartSync Tool Guide</t>
  </si>
  <si>
    <r>
      <t xml:space="preserve">1. Navigate to Worksheet </t>
    </r>
    <r>
      <rPr>
        <sz val="11"/>
        <color rgb="FF00B050"/>
        <rFont val="Calibri"/>
        <family val="2"/>
        <scheme val="minor"/>
      </rPr>
      <t>"</t>
    </r>
    <r>
      <rPr>
        <b/>
        <sz val="11"/>
        <color rgb="FF00B050"/>
        <rFont val="Calibri"/>
        <family val="2"/>
        <scheme val="minor"/>
      </rPr>
      <t>Tool Control</t>
    </r>
    <r>
      <rPr>
        <sz val="11"/>
        <color rgb="FF00B05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 xml:space="preserve"> =&gt; Click on ChartSync Tool Button. </t>
    </r>
  </si>
  <si>
    <t xml:space="preserve">          Folder Location can be copy and paste in the Text box Output Folder location [OR] </t>
  </si>
  <si>
    <t>2. Project Template Tab is default Tab shown.</t>
  </si>
  <si>
    <t xml:space="preserve">3. Browse for Output Folder Location i.e Select the desired location to generate the Project Load File. </t>
  </si>
  <si>
    <t>4. Enter Number of Records Count i.e 1 to 9999 are only valid values</t>
  </si>
  <si>
    <t>5. Mode of Selection i.e., Project Load File Generation is possible thru 3 different approaches</t>
  </si>
  <si>
    <t xml:space="preserve">         (i). Mandatory Fields -&gt; This option will generate the Project File with Required and Conditional fields as specified in Project layout file</t>
  </si>
  <si>
    <t xml:space="preserve">                                                          i.e In the Worksheet Project Data, Columns under Field "Field Type"with Color ORANGE &amp; YELLOW are only considered and color GREEN is Neglected</t>
  </si>
  <si>
    <t xml:space="preserve">         (ii). All Available Fields -&gt; This option will generate the Project File with Required, Conditional and Optional fields as specified in Project layout file</t>
  </si>
  <si>
    <t xml:space="preserve">                                                          i.e In the Worksheet Project Data, Columns under Field "Field Type"with Color ORANGE, YELLOW &amp; GREEN are considered</t>
  </si>
  <si>
    <t xml:space="preserve">         (iii). User Selected Fields -&gt; This option will generate the Project File as specified by User with conditions HAVE &amp; DON'T HAVE under the Field "Field Type" in Project Data Worksheet</t>
  </si>
  <si>
    <t xml:space="preserve">                                                          i.e In the Worksheet Project Data, Columns under Field "Field Type"with HAVE are only considered to generate data and others are Neglected</t>
  </si>
  <si>
    <t xml:space="preserve">          Folder Location can be browsed using the Browse button displayed beside the Text box</t>
  </si>
  <si>
    <t>Generate Chart Template</t>
  </si>
  <si>
    <t>ChartSync Tool</t>
  </si>
  <si>
    <t>UHG_000746373</t>
  </si>
  <si>
    <t>07/06/2012</t>
  </si>
  <si>
    <t>07/12/2012</t>
  </si>
  <si>
    <t>1234560789</t>
  </si>
  <si>
    <t>1234560790</t>
  </si>
  <si>
    <t>1234560791</t>
  </si>
  <si>
    <t>1234560792</t>
  </si>
  <si>
    <t>1234560793</t>
  </si>
  <si>
    <t>B</t>
  </si>
  <si>
    <t>D</t>
  </si>
  <si>
    <t>E</t>
  </si>
  <si>
    <t>Tool Add Name3</t>
  </si>
  <si>
    <t>Tool Add Name4</t>
  </si>
  <si>
    <t>11234-3467</t>
  </si>
  <si>
    <t>7202408400</t>
  </si>
  <si>
    <t>7202608300</t>
  </si>
  <si>
    <t>7202608412</t>
  </si>
  <si>
    <t>Tool Add Name5</t>
  </si>
  <si>
    <t>Tool Add Name7</t>
  </si>
  <si>
    <t>Tool Add Name8</t>
  </si>
  <si>
    <t>11234-3468</t>
  </si>
  <si>
    <t>11234-3470</t>
  </si>
  <si>
    <t>11234-3471</t>
  </si>
  <si>
    <t>Data_Field-11</t>
  </si>
  <si>
    <t>Data_Field-12</t>
  </si>
  <si>
    <t>Data_Field-13</t>
  </si>
  <si>
    <t>Data_Field-14</t>
  </si>
  <si>
    <t>Data_Field-15</t>
  </si>
  <si>
    <t>10/30/2012</t>
  </si>
  <si>
    <t>12345</t>
  </si>
  <si>
    <t>2. Project Template Tab is default Tab shown. Click on Chart Template Tab</t>
  </si>
  <si>
    <t xml:space="preserve">          File Location can be copy and paste in the Text box Input File location [OR] </t>
  </si>
  <si>
    <t xml:space="preserve">          File Location can be browsed using the Browse button displayed beside the Text box</t>
  </si>
  <si>
    <r>
      <t xml:space="preserve">3. Browse for Input File Location i.e Select the desired location to generate the Chart File(s). Input File should be a valid </t>
    </r>
    <r>
      <rPr>
        <b/>
        <sz val="11"/>
        <color theme="1"/>
        <rFont val="Calibri"/>
        <family val="2"/>
        <scheme val="minor"/>
      </rPr>
      <t>PDF</t>
    </r>
    <r>
      <rPr>
        <sz val="11"/>
        <color theme="1"/>
        <rFont val="Calibri"/>
        <family val="2"/>
        <scheme val="minor"/>
      </rPr>
      <t xml:space="preserve"> File format and file should be in closed mode.</t>
    </r>
  </si>
  <si>
    <t xml:space="preserve">4. Browse for Output Folder Location i.e Select the desired location to generate the Chart File(s). </t>
  </si>
  <si>
    <r>
      <t xml:space="preserve">5. In DB Bacodes subtab, Enter </t>
    </r>
    <r>
      <rPr>
        <b/>
        <sz val="11"/>
        <color theme="1"/>
        <rFont val="Calibri"/>
        <family val="2"/>
        <scheme val="minor"/>
      </rPr>
      <t xml:space="preserve">Project ID </t>
    </r>
    <r>
      <rPr>
        <sz val="11"/>
        <color theme="1"/>
        <rFont val="Calibri"/>
        <family val="2"/>
        <scheme val="minor"/>
      </rPr>
      <t>&lt;This is a Project ID from ChartSync application&gt;</t>
    </r>
  </si>
  <si>
    <t>6. Chart Load File Generation can be done for both the Project Review Types i.e STD/PAF</t>
  </si>
  <si>
    <t>9. Click on Reset Data button to Clear entire Data and User will be navigated to Project Template Tab.</t>
  </si>
  <si>
    <t>10. Click on Stop Button to Close the Pop-up Window.</t>
  </si>
  <si>
    <t>8. Click on Generate Template to generate Chart Load File at the location desired.</t>
  </si>
  <si>
    <t xml:space="preserve">         (i). STD, ENH Review Types -&gt; This option will generate the chart files for Project Review Types of STD/ENH/RADV</t>
  </si>
  <si>
    <t xml:space="preserve">         (ii). PAF, CAPE, COI, HQPAF, PAF_HQ Review Types -&gt; This option will generate the chart files for Project Review Types of PAF/CAPE/COI/HQPAF/PAF_HQ/PAF_HQPAF</t>
  </si>
  <si>
    <t>7. Mode of Selection i.e., All Barcode(s) or Few Barcodes for that project can be prepared by selecting the appropriate button and by specifying count.</t>
  </si>
  <si>
    <t>Generate STD DX Template</t>
  </si>
  <si>
    <t>2. Project Template Tab is default Tab shown. Click on DX Inbound Tab</t>
  </si>
  <si>
    <r>
      <t xml:space="preserve">5. In STD, ENH subtab, Enter </t>
    </r>
    <r>
      <rPr>
        <b/>
        <sz val="11"/>
        <color theme="1"/>
        <rFont val="Calibri"/>
        <family val="2"/>
        <scheme val="minor"/>
      </rPr>
      <t xml:space="preserve">Project ID # </t>
    </r>
    <r>
      <rPr>
        <sz val="11"/>
        <color theme="1"/>
        <rFont val="Calibri"/>
        <family val="2"/>
        <scheme val="minor"/>
      </rPr>
      <t>&lt;This is a Project ID from ChartSync application&gt;</t>
    </r>
  </si>
  <si>
    <t xml:space="preserve">4. Browse for Output Folder Location i.e Select the desired location to generate the DX File(s) for STD/ENH/RADV ProjectReview Types. </t>
  </si>
  <si>
    <r>
      <t xml:space="preserve">6. Enter </t>
    </r>
    <r>
      <rPr>
        <b/>
        <sz val="11"/>
        <color theme="1"/>
        <rFont val="Calibri"/>
        <family val="2"/>
        <scheme val="minor"/>
      </rPr>
      <t xml:space="preserve">Number of ICD Segments #  </t>
    </r>
    <r>
      <rPr>
        <sz val="11"/>
        <color theme="1"/>
        <rFont val="Calibri"/>
        <family val="2"/>
        <scheme val="minor"/>
      </rPr>
      <t>i.e Per Encounter total number of ICD's should be available, Currently the tool data is supported for 15 ICD's and this Limit can be exceeded till 999</t>
    </r>
  </si>
  <si>
    <r>
      <t xml:space="preserve">7. Enter </t>
    </r>
    <r>
      <rPr>
        <b/>
        <sz val="11"/>
        <color theme="1"/>
        <rFont val="Calibri"/>
        <family val="2"/>
        <scheme val="minor"/>
      </rPr>
      <t xml:space="preserve">Number of Encounter #  </t>
    </r>
    <r>
      <rPr>
        <sz val="11"/>
        <color theme="1"/>
        <rFont val="Calibri"/>
        <family val="2"/>
        <scheme val="minor"/>
      </rPr>
      <t>i.e Per barcode total number of Encounter's should be available, Currently the tool data is supported for 15 Encounter's and this Limit can be exceeded till 999</t>
    </r>
  </si>
  <si>
    <t>8. Mode of Selection i.e., STD DX File Generation is possible thru 3 different approaches</t>
  </si>
  <si>
    <t xml:space="preserve">         (i). Mandatory Fields -&gt; This option will generate the STD DX File with Required and Conditional fields as specified in STD DX layout file</t>
  </si>
  <si>
    <t xml:space="preserve">                                                          i.e In the Worksheet STD DX Data, Columns under Field "Field Type"with Color ORANGE &amp; YELLOW are only considered and color GREEN is Neglected</t>
  </si>
  <si>
    <t xml:space="preserve">         (ii). All Available Fields -&gt; This option will generate the STD DX File with Required, Conditional and Optional fields as specified in STD DX layout file</t>
  </si>
  <si>
    <t xml:space="preserve">                                                          i.e In the Worksheet STD DX Data, Columns under Field "Field Type"with Color ORANGE, YELLOW &amp; GREEN are considered</t>
  </si>
  <si>
    <t xml:space="preserve">         (iii). User Selected Fields -&gt; This option will generate the STD DX File as specified by User with conditions HAVE &amp; DON'T HAVE under the Field "Field Type" in STD DX Data Worksheet</t>
  </si>
  <si>
    <t>10. Mode of Selection i.e., All Barcode(s) or Few Barcodes for that project can be prepared by selecting the appropriate button and by specifying count.</t>
  </si>
  <si>
    <t>9. Additional Settings i.e., STD DX File Generation is possible thru 3 additional settings</t>
  </si>
  <si>
    <r>
      <t xml:space="preserve">         (i). Unique Data -&gt; This option will generate the STD DX File considering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only once</t>
    </r>
  </si>
  <si>
    <r>
      <t xml:space="preserve">      (ii). Repeat Data -&gt; This option will generate the STD DX File considering data under columns </t>
    </r>
    <r>
      <rPr>
        <b/>
        <sz val="11"/>
        <color theme="1"/>
        <rFont val="Calibri"/>
        <family val="2"/>
        <scheme val="minor"/>
      </rPr>
      <t xml:space="preserve">Data_Field-1 </t>
    </r>
    <r>
      <rPr>
        <sz val="11"/>
        <color theme="1"/>
        <rFont val="Calibri"/>
        <family val="2"/>
        <scheme val="minor"/>
      </rPr>
      <t>only and will not go for other Columns and Data will be repeated as specified in counts</t>
    </r>
  </si>
  <si>
    <r>
      <t xml:space="preserve">      (iii). Combinational Data -&gt; This option will generate the STD DX File by randomly picking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more than once</t>
    </r>
  </si>
  <si>
    <t>11. Click on Generate Template to generate STD DX File at the location desired.</t>
  </si>
  <si>
    <t>12. Click on Reset Data button to Clear entire Data and User will be navigated to Project Template Tab.</t>
  </si>
  <si>
    <t>13. Click on Stop Button to Close the Pop-up Window.</t>
  </si>
  <si>
    <r>
      <t xml:space="preserve">This Worksheet </t>
    </r>
    <r>
      <rPr>
        <b/>
        <sz val="11"/>
        <color theme="7" tint="-0.249977111117893"/>
        <rFont val="Calibri"/>
        <family val="2"/>
        <scheme val="minor"/>
      </rPr>
      <t>Settings</t>
    </r>
    <r>
      <rPr>
        <sz val="11"/>
        <color theme="1"/>
        <rFont val="Calibri"/>
        <family val="2"/>
        <scheme val="minor"/>
      </rPr>
      <t xml:space="preserve"> provides the User to update the </t>
    </r>
    <r>
      <rPr>
        <b/>
        <sz val="11"/>
        <color rgb="FFFF0000"/>
        <rFont val="Calibri"/>
        <family val="2"/>
        <scheme val="minor"/>
      </rPr>
      <t xml:space="preserve">Data base Credentials, Environment Settings(SYS, STG, UAT), </t>
    </r>
    <r>
      <rPr>
        <sz val="11"/>
        <color theme="1"/>
        <rFont val="Calibri"/>
        <family val="2"/>
        <scheme val="minor"/>
      </rPr>
      <t>Queries, Static File Names and Other Data</t>
    </r>
  </si>
  <si>
    <t>197.3</t>
  </si>
  <si>
    <t>260</t>
  </si>
  <si>
    <t>268.0</t>
  </si>
  <si>
    <t>272.0</t>
  </si>
  <si>
    <t>258.1</t>
  </si>
  <si>
    <t>342.80</t>
  </si>
  <si>
    <t>292.0</t>
  </si>
  <si>
    <t>27272</t>
  </si>
  <si>
    <t>DB_VRFQUERY</t>
  </si>
  <si>
    <t>DB_VRFFILENAME</t>
  </si>
  <si>
    <t>DB_VRFPROJFILENAME</t>
  </si>
  <si>
    <t>RESPONSE</t>
  </si>
  <si>
    <t>D13</t>
  </si>
  <si>
    <t>D04</t>
  </si>
  <si>
    <t>U</t>
  </si>
  <si>
    <t>08/05/2012</t>
  </si>
  <si>
    <t>08/06/2012</t>
  </si>
  <si>
    <t>08/07/2012</t>
  </si>
  <si>
    <t>10/05/2012</t>
  </si>
  <si>
    <t>12/31/2012</t>
  </si>
  <si>
    <t>08/20/2012</t>
  </si>
  <si>
    <t>12/20/2012</t>
  </si>
  <si>
    <t>01/01/2013</t>
  </si>
  <si>
    <t>VRF CAN Comments</t>
  </si>
  <si>
    <t>VRF CNA Comments</t>
  </si>
  <si>
    <t>VRF PNP Comments</t>
  </si>
  <si>
    <t>VRF RTD Comments</t>
  </si>
  <si>
    <t>VRF SENT Comments</t>
  </si>
  <si>
    <t>VRF INTK Comments</t>
  </si>
  <si>
    <t>VRF CDG Comments</t>
  </si>
  <si>
    <t>VRF PREL Comments</t>
  </si>
  <si>
    <t>VRF SCH Comments</t>
  </si>
  <si>
    <t>VRF REL Comments</t>
  </si>
  <si>
    <t>11/30/2014</t>
  </si>
  <si>
    <t>3714.00</t>
  </si>
  <si>
    <t>7145.00</t>
  </si>
  <si>
    <t>3715.00</t>
  </si>
  <si>
    <t>345.01</t>
  </si>
  <si>
    <t>45.12</t>
  </si>
  <si>
    <t>5.01</t>
  </si>
  <si>
    <t>VRFCNASiteID01</t>
  </si>
  <si>
    <t>VRFPNPSiteID01</t>
  </si>
  <si>
    <t>VRFRETVDSiteID12</t>
  </si>
  <si>
    <t>VRFSENTSiteID0</t>
  </si>
  <si>
    <t>VRFINTREJSiteID99</t>
  </si>
  <si>
    <t>VRFCODREJSiteID87</t>
  </si>
  <si>
    <t>VRFPNPRELSiteID45</t>
  </si>
  <si>
    <t>VRFSCHSiteID87</t>
  </si>
  <si>
    <t>VRFCANCELSiteID56</t>
  </si>
  <si>
    <t>VRFRELSiteID67</t>
  </si>
  <si>
    <t>VRFEMRName</t>
  </si>
  <si>
    <t>VRFEMRName0</t>
  </si>
  <si>
    <t>Project Year</t>
  </si>
  <si>
    <t>Priority</t>
  </si>
  <si>
    <t>Gov~1313</t>
  </si>
  <si>
    <t>ENTERPRISE CONSULTING SOLUTIONS</t>
  </si>
  <si>
    <t>9. Click on Stop Button to Close the Pop-up Window.</t>
  </si>
  <si>
    <t>8. Click on Reset Data button to Clear entire Data and User will be navigated to Project Template Tab.</t>
  </si>
  <si>
    <t>7. Click on Generate Template to generate Project Load File at the location desired.</t>
  </si>
  <si>
    <r>
      <t xml:space="preserve">       (iii). Combinational Data -&gt; This option will generate the Project Load File by randomly picking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more than once</t>
    </r>
  </si>
  <si>
    <r>
      <t xml:space="preserve">     (ii). Repeat Data -&gt; This option will generate the Project Load File considering data under columns </t>
    </r>
    <r>
      <rPr>
        <b/>
        <sz val="11"/>
        <color theme="1"/>
        <rFont val="Calibri"/>
        <family val="2"/>
        <scheme val="minor"/>
      </rPr>
      <t xml:space="preserve">Data_Field-1 </t>
    </r>
    <r>
      <rPr>
        <sz val="11"/>
        <color theme="1"/>
        <rFont val="Calibri"/>
        <family val="2"/>
        <scheme val="minor"/>
      </rPr>
      <t>only and will not go for other Columns and Data will be repeated as specified in counts</t>
    </r>
  </si>
  <si>
    <r>
      <t xml:space="preserve">         (i). Unique Data -&gt; This option will generate the Project Load File considering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only once until all columns exhausted</t>
    </r>
  </si>
  <si>
    <r>
      <t>6.DTL Segment Validation i.e., Project File Generation is possible thru 3 additional settings (</t>
    </r>
    <r>
      <rPr>
        <sz val="11"/>
        <color theme="9" tint="-0.249977111117893"/>
        <rFont val="Calibri"/>
        <family val="2"/>
        <scheme val="minor"/>
      </rPr>
      <t>ORANGE COLOR</t>
    </r>
    <r>
      <rPr>
        <sz val="11"/>
        <color theme="1"/>
        <rFont val="Calibri"/>
        <family val="2"/>
        <scheme val="minor"/>
      </rPr>
      <t xml:space="preserve"> Fields only Repeated)</t>
    </r>
  </si>
  <si>
    <t>AMC</t>
  </si>
  <si>
    <t>AMCH</t>
  </si>
  <si>
    <t>DB_VRFORDERBY</t>
  </si>
  <si>
    <t>ORDER BY Pcont.Retrieval_Vendor</t>
  </si>
  <si>
    <t>D02</t>
  </si>
  <si>
    <t>C06</t>
  </si>
  <si>
    <t>D05</t>
  </si>
  <si>
    <t>SELECT Vnd.Vendor_Code, Pcont.Proj_Content_Barcode, Pcont.Proj_Key , COUNT (*) OVER (PARTITION BY Pcont.Retrieval_Vendor)  FROM  Ravas.Rv_Proj_Content Pcont 
INNER JOIN Ravas.Rv_Project Proj ON Pcont.Proj_Key = Proj.Proj_Key  
INNER JOIN Ravas.Rv_Vendor Vnd ON Vnd.Vendor_Name = Pcont.Retrieval_Vendor
AND Retrieval_Request_Status NOT IN ('CLOSED','REQCOMP')
AND Pcont.Proj_Key =</t>
  </si>
  <si>
    <t>05/17/2011</t>
  </si>
  <si>
    <t>HNET</t>
  </si>
  <si>
    <t>WINDSOR</t>
  </si>
  <si>
    <t>COMP</t>
  </si>
  <si>
    <t>TCS</t>
  </si>
  <si>
    <t>10/10/2012</t>
  </si>
  <si>
    <t>rdvts01.uhc.com</t>
  </si>
  <si>
    <t>dbsld0024</t>
  </si>
  <si>
    <t>TOPROVLENAME04</t>
  </si>
  <si>
    <t>TOPROVFENAME04</t>
  </si>
  <si>
    <t xml:space="preserve">SELECT C.vendor_code, A.proj_content_barcode, A.proj_key, B.Proj_Name, COUNT(*) OVER (PARTITION BY A.proj_key)
FROM Ravas.rv_proj_content A
INNER JOIN Ravas.rv_project B ON B.proj_key = A.proj_key
INNER JOIN Ravas.rv_vendor C ON C.vendor_name = A.Coding_vendor
AND A.Retrieval_Request_Status IN ('RELEASED', 'NEW', 'RETVD', 'SENT', 'PNPRELEASE', 'RECVD', 'PNP')
AND A.Coding = 'EXTCODING'
AND B.Proj_Review_type IN ('STD','ENH','RADV')
AND B.proj_key = </t>
  </si>
  <si>
    <t>SELECT A.proj_key, C.vendor_code, A.proj_content_barcode 
FROM ravas.rv_proj_content A, ravas.rv_project B, ravas.rv_vendor C 
WHERE B.proj_key = A.proj_key AND C.vendor_name = A.Retrieval_vendor AND a.retrieval_request_status IN ('RELEASED') AND B.proj_key =</t>
  </si>
  <si>
    <t>SELECT COUNT(*) FROM ravas.rv_proj_content A, ravas.rv_project B, ravas.rv_vendor C WHERE B.proj_key = A.proj_key AND C.vendor_name = A.Retrieval_vendor AND a.retrieval_request_status IN ('RELEASED') AND B.proj_key =</t>
  </si>
  <si>
    <t>Tool First Name</t>
  </si>
  <si>
    <t>Tool Last Name</t>
  </si>
  <si>
    <t>Tool Grp Name</t>
  </si>
  <si>
    <t>Tool City</t>
  </si>
  <si>
    <t>Tool CitS</t>
  </si>
  <si>
    <t>MDX HAWAII</t>
  </si>
  <si>
    <t>&lt;Will Fetch From Tool&gt;</t>
  </si>
  <si>
    <t>Encounter key</t>
  </si>
  <si>
    <t>E&amp;O 4</t>
  </si>
  <si>
    <t>E&amp;O 5</t>
  </si>
  <si>
    <t>E&amp;O 6</t>
  </si>
  <si>
    <t>Dx key</t>
  </si>
  <si>
    <t>Primary dx</t>
  </si>
  <si>
    <t>iCodify</t>
  </si>
  <si>
    <t>Form type</t>
  </si>
  <si>
    <t>PAF ID</t>
  </si>
  <si>
    <t>PDF page number</t>
  </si>
  <si>
    <t>Delete Comment</t>
  </si>
  <si>
    <t>Image status</t>
  </si>
  <si>
    <t>Batch type</t>
  </si>
  <si>
    <t>Note type</t>
  </si>
  <si>
    <t>Coding Reject</t>
  </si>
  <si>
    <t>CODREJ</t>
  </si>
  <si>
    <t>DB_APPENDDXQUERY</t>
  </si>
  <si>
    <t>DB_APPENDDXFILENAME</t>
  </si>
  <si>
    <t>05/05/2013</t>
  </si>
  <si>
    <t>04/04/2012</t>
  </si>
  <si>
    <t>05/09/2013</t>
  </si>
  <si>
    <t>10/11/2012</t>
  </si>
  <si>
    <t>01/11/2013</t>
  </si>
  <si>
    <t>03/07/2013</t>
  </si>
  <si>
    <t>06/25/2013</t>
  </si>
  <si>
    <t>VRFEMRYes1</t>
  </si>
  <si>
    <t>SH</t>
  </si>
  <si>
    <t>SHE</t>
  </si>
  <si>
    <t>SHEA</t>
  </si>
  <si>
    <t>CAPE</t>
  </si>
  <si>
    <t>07/07/2013</t>
  </si>
  <si>
    <t>TRIGGER_CHART5_</t>
  </si>
  <si>
    <t>TRIG05D</t>
  </si>
  <si>
    <t>THIC05D</t>
  </si>
  <si>
    <t>TRI5_ENAME</t>
  </si>
  <si>
    <t>C_BNA_272136345</t>
  </si>
  <si>
    <t>PRFEPAF5</t>
  </si>
  <si>
    <t>PFECHRT5</t>
  </si>
  <si>
    <t>427.81</t>
  </si>
  <si>
    <t>ICODIFY</t>
  </si>
  <si>
    <t>ECSPION</t>
  </si>
  <si>
    <t>HOSP</t>
  </si>
  <si>
    <t>2011</t>
  </si>
  <si>
    <t>C_BNA_2112345</t>
  </si>
  <si>
    <t>AUTOR1NPI</t>
  </si>
  <si>
    <t>TOPROVLENAE04</t>
  </si>
  <si>
    <t>TOPROVFENME04</t>
  </si>
  <si>
    <t>TO DOO NO  02401</t>
  </si>
  <si>
    <t>SSUPPI FULL SERVICE</t>
  </si>
  <si>
    <t>HOSP/PROF</t>
  </si>
  <si>
    <t>SUP5D</t>
  </si>
  <si>
    <t>SUPP5_ENAME</t>
  </si>
  <si>
    <t>SUPP5PAF1</t>
  </si>
  <si>
    <t>SUPP5CHRT2</t>
  </si>
  <si>
    <t>SUPP5GD</t>
  </si>
  <si>
    <t>STORE</t>
  </si>
  <si>
    <t>STORE_SHAN_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</si>
</sst>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b/>
      <sz val="14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0" xfId="0" applyFill="1" applyAlignment="1"/>
    <xf numFmtId="0" fontId="2" fillId="0" borderId="1" xfId="0" applyFont="1" applyBorder="1" applyAlignment="1" applyProtection="1">
      <alignment wrapText="1"/>
    </xf>
    <xf numFmtId="0" fontId="2" fillId="0" borderId="1" xfId="0" applyFont="1" applyFill="1" applyBorder="1" applyAlignment="1" applyProtection="1">
      <alignment wrapText="1"/>
    </xf>
    <xf numFmtId="0" fontId="2" fillId="0" borderId="1" xfId="0" applyFont="1" applyBorder="1" applyAlignment="1" applyProtection="1"/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49" fontId="0" fillId="0" borderId="1" xfId="0" applyNumberFormat="1" applyBorder="1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protection locked="0"/>
    </xf>
    <xf numFmtId="49" fontId="0" fillId="0" borderId="1" xfId="0" applyNumberFormat="1" applyBorder="1" applyAlignment="1" applyProtection="1">
      <protection locked="0"/>
    </xf>
    <xf numFmtId="0" fontId="0" fillId="0" borderId="2" xfId="0" applyFill="1" applyBorder="1" applyAlignment="1" applyProtection="1">
      <alignment wrapText="1"/>
      <protection locked="0"/>
    </xf>
    <xf numFmtId="0" fontId="5" fillId="5" borderId="1" xfId="0" applyFont="1" applyFill="1" applyBorder="1" applyAlignment="1">
      <alignment wrapText="1"/>
    </xf>
    <xf numFmtId="0" fontId="0" fillId="0" borderId="1" xfId="0" applyBorder="1" applyAlignment="1" applyProtection="1"/>
    <xf numFmtId="2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49" fontId="0" fillId="0" borderId="1" xfId="0" applyNumberFormat="1" applyBorder="1" applyAlignment="1" applyProtection="1">
      <alignment horizontal="left"/>
      <protection locked="0"/>
    </xf>
    <xf numFmtId="0" fontId="0" fillId="0" borderId="1" xfId="0" applyFill="1" applyBorder="1" applyProtection="1">
      <protection locked="0"/>
    </xf>
    <xf numFmtId="49" fontId="0" fillId="0" borderId="1" xfId="0" applyNumberFormat="1" applyBorder="1"/>
    <xf numFmtId="0" fontId="2" fillId="0" borderId="3" xfId="0" applyFont="1" applyFill="1" applyBorder="1" applyAlignment="1" applyProtection="1">
      <alignment wrapText="1"/>
    </xf>
    <xf numFmtId="0" fontId="0" fillId="0" borderId="1" xfId="0" applyNumberFormat="1" applyBorder="1"/>
    <xf numFmtId="0" fontId="0" fillId="0" borderId="1" xfId="0" applyBorder="1"/>
    <xf numFmtId="49" fontId="0" fillId="0" borderId="4" xfId="0" applyNumberFormat="1" applyBorder="1" applyAlignment="1" applyProtection="1">
      <alignment wrapText="1"/>
      <protection locked="0"/>
    </xf>
    <xf numFmtId="49" fontId="0" fillId="0" borderId="5" xfId="0" applyNumberFormat="1" applyBorder="1" applyAlignment="1" applyProtection="1">
      <alignment wrapText="1"/>
      <protection locked="0"/>
    </xf>
    <xf numFmtId="49" fontId="0" fillId="11" borderId="1" xfId="0" applyNumberFormat="1" applyFill="1" applyBorder="1" applyAlignment="1" applyProtection="1">
      <alignment wrapText="1"/>
      <protection locked="0"/>
    </xf>
    <xf numFmtId="0" fontId="2" fillId="11" borderId="1" xfId="0" applyFont="1" applyFill="1" applyBorder="1" applyAlignment="1" applyProtection="1">
      <alignment wrapText="1"/>
    </xf>
    <xf numFmtId="0" fontId="0" fillId="11" borderId="1" xfId="0" applyFill="1" applyBorder="1" applyAlignment="1" applyProtection="1">
      <alignment wrapText="1"/>
      <protection locked="0"/>
    </xf>
    <xf numFmtId="0" fontId="0" fillId="11" borderId="1" xfId="0" applyFill="1" applyBorder="1" applyAlignment="1" applyProtection="1">
      <alignment horizontal="left" wrapText="1"/>
      <protection locked="0"/>
    </xf>
    <xf numFmtId="0" fontId="2" fillId="0" borderId="1" xfId="0" applyFont="1" applyFill="1" applyBorder="1" applyAlignment="1" applyProtection="1"/>
    <xf numFmtId="0" fontId="0" fillId="2" borderId="2" xfId="0" applyFill="1" applyBorder="1" applyAlignment="1"/>
    <xf numFmtId="0" fontId="0" fillId="0" borderId="2" xfId="0" applyFill="1" applyBorder="1" applyAlignment="1" applyProtection="1">
      <protection locked="0"/>
    </xf>
    <xf numFmtId="0" fontId="0" fillId="0" borderId="2" xfId="0" applyBorder="1" applyAlignment="1"/>
    <xf numFmtId="0" fontId="0" fillId="2" borderId="1" xfId="0" applyFill="1" applyBorder="1" applyAlignment="1"/>
    <xf numFmtId="0" fontId="5" fillId="7" borderId="1" xfId="0" applyFont="1" applyFill="1" applyBorder="1" applyAlignment="1"/>
    <xf numFmtId="49" fontId="0" fillId="0" borderId="1" xfId="0" applyNumberFormat="1" applyBorder="1" applyAlignment="1"/>
    <xf numFmtId="0" fontId="0" fillId="0" borderId="1" xfId="0" applyBorder="1" applyAlignment="1"/>
    <xf numFmtId="0" fontId="5" fillId="6" borderId="1" xfId="0" applyFont="1" applyFill="1" applyBorder="1" applyAlignment="1"/>
    <xf numFmtId="0" fontId="0" fillId="0" borderId="1" xfId="0" applyBorder="1" applyAlignment="1" applyProtection="1">
      <alignment horizontal="left"/>
      <protection locked="0"/>
    </xf>
    <xf numFmtId="0" fontId="0" fillId="4" borderId="1" xfId="0" applyFill="1" applyBorder="1" applyAlignment="1"/>
    <xf numFmtId="0" fontId="0" fillId="3" borderId="1" xfId="0" applyFill="1" applyBorder="1" applyAlignment="1"/>
    <xf numFmtId="0" fontId="5" fillId="5" borderId="1" xfId="0" applyFont="1" applyFill="1" applyBorder="1" applyAlignment="1"/>
    <xf numFmtId="0" fontId="4" fillId="0" borderId="1" xfId="0" applyFont="1" applyBorder="1" applyAlignment="1" applyProtection="1">
      <protection locked="0"/>
    </xf>
    <xf numFmtId="0" fontId="3" fillId="0" borderId="1" xfId="0" applyFont="1" applyBorder="1" applyAlignment="1" applyProtection="1">
      <protection locked="0"/>
    </xf>
    <xf numFmtId="0" fontId="9" fillId="0" borderId="2" xfId="0" applyFont="1" applyBorder="1" applyAlignment="1">
      <alignment wrapText="1"/>
    </xf>
    <xf numFmtId="0" fontId="10" fillId="0" borderId="1" xfId="0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2" fillId="0" borderId="1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4" fillId="0" borderId="2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15" fillId="0" borderId="1" xfId="0" applyFont="1" applyBorder="1" applyAlignment="1">
      <alignment wrapText="1"/>
    </xf>
    <xf numFmtId="0" fontId="16" fillId="0" borderId="1" xfId="0" applyFont="1" applyBorder="1" applyAlignment="1">
      <alignment wrapText="1"/>
    </xf>
    <xf numFmtId="0" fontId="0" fillId="12" borderId="1" xfId="0" applyFill="1" applyBorder="1"/>
    <xf numFmtId="0" fontId="0" fillId="0" borderId="1" xfId="0" applyFill="1" applyBorder="1" applyAlignment="1" applyProtection="1">
      <alignment wrapText="1"/>
      <protection locked="0"/>
    </xf>
    <xf numFmtId="49" fontId="2" fillId="13" borderId="1" xfId="0" applyNumberFormat="1" applyFont="1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19" fillId="0" borderId="0" xfId="0" applyFont="1"/>
    <xf numFmtId="0" fontId="0" fillId="0" borderId="0" xfId="0" applyBorder="1"/>
    <xf numFmtId="0" fontId="19" fillId="0" borderId="6" xfId="0" applyFont="1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9" xfId="0" applyBorder="1"/>
    <xf numFmtId="0" fontId="19" fillId="0" borderId="9" xfId="0" applyFont="1" applyBorder="1"/>
    <xf numFmtId="0" fontId="2" fillId="0" borderId="1" xfId="0" applyFont="1" applyBorder="1"/>
    <xf numFmtId="0" fontId="0" fillId="0" borderId="13" xfId="0" applyBorder="1"/>
    <xf numFmtId="0" fontId="0" fillId="14" borderId="1" xfId="0" applyFill="1" applyBorder="1"/>
    <xf numFmtId="49" fontId="0" fillId="0" borderId="0" xfId="0" applyNumberFormat="1"/>
    <xf numFmtId="0" fontId="0" fillId="15" borderId="1" xfId="0" applyFill="1" applyBorder="1"/>
    <xf numFmtId="49" fontId="0" fillId="0" borderId="11" xfId="0" applyNumberFormat="1" applyBorder="1" applyAlignment="1">
      <alignment horizontal="left" wrapText="1"/>
    </xf>
    <xf numFmtId="49" fontId="0" fillId="0" borderId="12" xfId="0" applyNumberFormat="1" applyBorder="1" applyAlignment="1">
      <alignment horizontal="left" wrapText="1"/>
    </xf>
    <xf numFmtId="49" fontId="0" fillId="0" borderId="9" xfId="0" applyNumberFormat="1" applyBorder="1" applyAlignment="1">
      <alignment horizontal="left" wrapText="1"/>
    </xf>
    <xf numFmtId="49" fontId="0" fillId="0" borderId="0" xfId="0" applyNumberFormat="1" applyBorder="1" applyAlignment="1">
      <alignment horizontal="left" wrapText="1"/>
    </xf>
    <xf numFmtId="49" fontId="0" fillId="0" borderId="10" xfId="0" applyNumberFormat="1" applyBorder="1" applyAlignment="1">
      <alignment horizontal="left" wrapText="1"/>
    </xf>
    <xf numFmtId="49" fontId="0" fillId="0" borderId="9" xfId="0" applyNumberFormat="1" applyBorder="1" applyAlignment="1">
      <alignment horizontal="center" wrapText="1"/>
    </xf>
    <xf numFmtId="49" fontId="0" fillId="0" borderId="0" xfId="0" applyNumberFormat="1" applyBorder="1" applyAlignment="1">
      <alignment horizontal="center" wrapText="1"/>
    </xf>
    <xf numFmtId="49" fontId="0" fillId="0" borderId="10" xfId="0" applyNumberFormat="1" applyBorder="1" applyAlignment="1">
      <alignment horizontal="center" wrapText="1"/>
    </xf>
    <xf numFmtId="0" fontId="20" fillId="3" borderId="14" xfId="0" applyFont="1" applyFill="1" applyBorder="1" applyAlignment="1">
      <alignment horizontal="center"/>
    </xf>
    <xf numFmtId="0" fontId="20" fillId="3" borderId="15" xfId="0" applyFont="1" applyFill="1" applyBorder="1" applyAlignment="1">
      <alignment horizontal="center"/>
    </xf>
    <xf numFmtId="0" fontId="20" fillId="3" borderId="16" xfId="0" applyFont="1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0" xfId="0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2" fillId="0" borderId="19" xfId="0" applyFont="1" applyBorder="1" applyAlignment="1">
      <alignment horizontal="left"/>
    </xf>
    <xf numFmtId="0" fontId="23" fillId="3" borderId="14" xfId="1" applyFont="1" applyFill="1" applyBorder="1" applyAlignment="1">
      <alignment horizontal="center"/>
    </xf>
    <xf numFmtId="0" fontId="23" fillId="3" borderId="15" xfId="1" applyFont="1" applyFill="1" applyBorder="1" applyAlignment="1">
      <alignment horizontal="center"/>
    </xf>
    <xf numFmtId="0" fontId="23" fillId="3" borderId="16" xfId="1" applyFont="1" applyFill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CFFCC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10</xdr:row>
          <xdr:rowOff>133350</xdr:rowOff>
        </xdr:from>
        <xdr:to>
          <xdr:col>10</xdr:col>
          <xdr:colOff>47625</xdr:colOff>
          <xdr:row>14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ChartSync Tool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CFFCC"/>
  </sheetPr>
  <dimension ref="A210:B210"/>
  <sheetViews>
    <sheetView workbookViewId="0"/>
  </sheetViews>
  <sheetFormatPr defaultRowHeight="15" x14ac:dyDescent="0.25"/>
  <cols>
    <col min="2" max="2" width="10" bestFit="1" customWidth="1"/>
  </cols>
  <sheetData>
    <row r="210" spans="1:2" x14ac:dyDescent="0.25">
      <c r="A210" s="77" t="s">
        <v>399</v>
      </c>
      <c r="B210" s="77" t="s">
        <v>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B1:T82"/>
  <sheetViews>
    <sheetView showGridLines="0" workbookViewId="0">
      <selection activeCell="B43" sqref="B43:T43"/>
    </sheetView>
  </sheetViews>
  <sheetFormatPr defaultRowHeight="15" x14ac:dyDescent="0.25"/>
  <sheetData>
    <row r="1" spans="2:20" ht="15.75" thickBot="1" x14ac:dyDescent="0.3"/>
    <row r="2" spans="2:20" ht="24.75" thickTop="1" thickBot="1" x14ac:dyDescent="0.4">
      <c r="F2" s="90" t="s">
        <v>386</v>
      </c>
      <c r="G2" s="91"/>
      <c r="H2" s="91"/>
      <c r="I2" s="91"/>
      <c r="J2" s="91"/>
      <c r="K2" s="91"/>
      <c r="L2" s="91"/>
      <c r="M2" s="91"/>
      <c r="N2" s="92"/>
      <c r="Q2" s="103" t="s">
        <v>416</v>
      </c>
      <c r="R2" s="104"/>
      <c r="S2" s="105"/>
    </row>
    <row r="3" spans="2:20" ht="16.5" thickTop="1" x14ac:dyDescent="0.25">
      <c r="B3" s="71" t="s">
        <v>387</v>
      </c>
      <c r="C3" s="72"/>
      <c r="D3" s="72"/>
      <c r="E3" s="72"/>
      <c r="F3" s="70"/>
      <c r="G3" s="70"/>
      <c r="H3" s="70"/>
      <c r="I3" s="70"/>
      <c r="J3" s="70"/>
      <c r="K3" s="70"/>
      <c r="L3" s="70"/>
      <c r="M3" s="70"/>
      <c r="N3" s="70"/>
      <c r="O3" s="73"/>
    </row>
    <row r="4" spans="2:20" ht="15.75" thickBot="1" x14ac:dyDescent="0.3">
      <c r="B4" s="106" t="s">
        <v>388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8"/>
    </row>
    <row r="5" spans="2:20" ht="15.75" thickBot="1" x14ac:dyDescent="0.3"/>
    <row r="6" spans="2:20" ht="15.75" x14ac:dyDescent="0.25">
      <c r="B6" s="71" t="s">
        <v>390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3"/>
    </row>
    <row r="7" spans="2:20" x14ac:dyDescent="0.25">
      <c r="B7" s="109" t="s">
        <v>391</v>
      </c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70"/>
      <c r="T7" s="74"/>
    </row>
    <row r="8" spans="2:20" x14ac:dyDescent="0.25">
      <c r="B8" s="75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4"/>
    </row>
    <row r="9" spans="2:20" ht="15.75" x14ac:dyDescent="0.25">
      <c r="B9" s="76" t="s">
        <v>389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4"/>
    </row>
    <row r="10" spans="2:20" x14ac:dyDescent="0.25">
      <c r="B10" s="93" t="s">
        <v>480</v>
      </c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70"/>
      <c r="T10" s="74"/>
    </row>
    <row r="11" spans="2:20" x14ac:dyDescent="0.25">
      <c r="B11" s="75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4"/>
    </row>
    <row r="12" spans="2:20" ht="15.75" x14ac:dyDescent="0.25">
      <c r="B12" s="76" t="s">
        <v>392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4"/>
    </row>
    <row r="13" spans="2:20" x14ac:dyDescent="0.25">
      <c r="B13" s="93" t="s">
        <v>393</v>
      </c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5"/>
    </row>
    <row r="14" spans="2:20" x14ac:dyDescent="0.25">
      <c r="B14" s="93" t="s">
        <v>394</v>
      </c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5"/>
    </row>
    <row r="15" spans="2:20" x14ac:dyDescent="0.25">
      <c r="B15" s="93" t="s">
        <v>395</v>
      </c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5"/>
    </row>
    <row r="16" spans="2:20" ht="15.75" thickBot="1" x14ac:dyDescent="0.3">
      <c r="B16" s="96" t="s">
        <v>396</v>
      </c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8"/>
    </row>
    <row r="17" spans="2:20" x14ac:dyDescent="0.25"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</row>
    <row r="18" spans="2:20" ht="16.5" thickBot="1" x14ac:dyDescent="0.3">
      <c r="B18" s="69" t="s">
        <v>397</v>
      </c>
    </row>
    <row r="19" spans="2:20" ht="15.75" thickBot="1" x14ac:dyDescent="0.3">
      <c r="B19" s="100" t="s">
        <v>398</v>
      </c>
      <c r="C19" s="101"/>
      <c r="D19" s="10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3"/>
    </row>
    <row r="20" spans="2:20" x14ac:dyDescent="0.25">
      <c r="B20" s="84" t="s">
        <v>402</v>
      </c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74"/>
    </row>
    <row r="21" spans="2:20" x14ac:dyDescent="0.25">
      <c r="B21" s="84" t="s">
        <v>404</v>
      </c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6"/>
    </row>
    <row r="22" spans="2:20" x14ac:dyDescent="0.25">
      <c r="B22" s="84" t="s">
        <v>405</v>
      </c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6"/>
    </row>
    <row r="23" spans="2:20" x14ac:dyDescent="0.25">
      <c r="B23" s="84" t="s">
        <v>403</v>
      </c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74"/>
    </row>
    <row r="24" spans="2:20" x14ac:dyDescent="0.25">
      <c r="B24" s="84" t="s">
        <v>414</v>
      </c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74"/>
    </row>
    <row r="25" spans="2:20" x14ac:dyDescent="0.25">
      <c r="B25" s="84" t="s">
        <v>406</v>
      </c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6"/>
    </row>
    <row r="26" spans="2:20" x14ac:dyDescent="0.25">
      <c r="B26" s="84" t="s">
        <v>407</v>
      </c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6"/>
    </row>
    <row r="27" spans="2:20" x14ac:dyDescent="0.25">
      <c r="B27" s="84" t="s">
        <v>408</v>
      </c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74"/>
    </row>
    <row r="28" spans="2:20" x14ac:dyDescent="0.25">
      <c r="B28" s="84" t="s">
        <v>409</v>
      </c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74"/>
    </row>
    <row r="29" spans="2:20" ht="15" customHeight="1" x14ac:dyDescent="0.25">
      <c r="B29" s="84" t="s">
        <v>410</v>
      </c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74"/>
    </row>
    <row r="30" spans="2:20" x14ac:dyDescent="0.25">
      <c r="B30" s="84" t="s">
        <v>411</v>
      </c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74"/>
    </row>
    <row r="31" spans="2:20" x14ac:dyDescent="0.25">
      <c r="B31" s="84" t="s">
        <v>412</v>
      </c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74"/>
    </row>
    <row r="32" spans="2:20" x14ac:dyDescent="0.25">
      <c r="B32" s="84" t="s">
        <v>413</v>
      </c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74"/>
    </row>
    <row r="33" spans="2:20" x14ac:dyDescent="0.25">
      <c r="B33" s="84" t="s">
        <v>543</v>
      </c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6"/>
    </row>
    <row r="34" spans="2:20" x14ac:dyDescent="0.25">
      <c r="B34" s="84" t="s">
        <v>542</v>
      </c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74"/>
    </row>
    <row r="35" spans="2:20" ht="15" customHeight="1" x14ac:dyDescent="0.25">
      <c r="B35" s="87" t="s">
        <v>541</v>
      </c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9"/>
    </row>
    <row r="36" spans="2:20" ht="15" customHeight="1" x14ac:dyDescent="0.25">
      <c r="B36" s="84" t="s">
        <v>540</v>
      </c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74"/>
    </row>
    <row r="37" spans="2:20" x14ac:dyDescent="0.25">
      <c r="B37" s="84" t="s">
        <v>539</v>
      </c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74"/>
    </row>
    <row r="38" spans="2:20" x14ac:dyDescent="0.25">
      <c r="B38" s="84" t="s">
        <v>538</v>
      </c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74"/>
    </row>
    <row r="39" spans="2:20" ht="15.75" thickBot="1" x14ac:dyDescent="0.3">
      <c r="B39" s="82" t="s">
        <v>537</v>
      </c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78"/>
    </row>
    <row r="40" spans="2:20" ht="15.75" thickBot="1" x14ac:dyDescent="0.3"/>
    <row r="41" spans="2:20" ht="15.75" thickBot="1" x14ac:dyDescent="0.3">
      <c r="B41" s="100" t="s">
        <v>415</v>
      </c>
      <c r="C41" s="101"/>
      <c r="D41" s="102"/>
    </row>
    <row r="42" spans="2:20" x14ac:dyDescent="0.25">
      <c r="B42" s="84" t="s">
        <v>402</v>
      </c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74"/>
    </row>
    <row r="43" spans="2:20" x14ac:dyDescent="0.25">
      <c r="B43" s="84" t="s">
        <v>447</v>
      </c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6"/>
    </row>
    <row r="44" spans="2:20" x14ac:dyDescent="0.25">
      <c r="B44" s="84" t="s">
        <v>450</v>
      </c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6"/>
    </row>
    <row r="45" spans="2:20" x14ac:dyDescent="0.25">
      <c r="B45" s="84" t="s">
        <v>448</v>
      </c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74"/>
    </row>
    <row r="46" spans="2:20" x14ac:dyDescent="0.25">
      <c r="B46" s="84" t="s">
        <v>449</v>
      </c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74"/>
    </row>
    <row r="47" spans="2:20" x14ac:dyDescent="0.25">
      <c r="B47" s="84" t="s">
        <v>451</v>
      </c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6"/>
    </row>
    <row r="48" spans="2:20" x14ac:dyDescent="0.25">
      <c r="B48" s="84" t="s">
        <v>403</v>
      </c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74"/>
    </row>
    <row r="49" spans="2:20" x14ac:dyDescent="0.25">
      <c r="B49" s="84" t="s">
        <v>414</v>
      </c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74"/>
    </row>
    <row r="50" spans="2:20" x14ac:dyDescent="0.25">
      <c r="B50" s="84" t="s">
        <v>452</v>
      </c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6"/>
    </row>
    <row r="51" spans="2:20" x14ac:dyDescent="0.25">
      <c r="B51" s="84" t="s">
        <v>453</v>
      </c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6"/>
    </row>
    <row r="52" spans="2:20" x14ac:dyDescent="0.25">
      <c r="B52" s="84" t="s">
        <v>457</v>
      </c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74"/>
    </row>
    <row r="53" spans="2:20" x14ac:dyDescent="0.25">
      <c r="B53" s="84" t="s">
        <v>458</v>
      </c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74"/>
    </row>
    <row r="54" spans="2:20" x14ac:dyDescent="0.25">
      <c r="B54" s="84" t="s">
        <v>459</v>
      </c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74"/>
    </row>
    <row r="55" spans="2:20" x14ac:dyDescent="0.25">
      <c r="B55" s="84" t="s">
        <v>456</v>
      </c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74"/>
    </row>
    <row r="56" spans="2:20" x14ac:dyDescent="0.25">
      <c r="B56" s="84" t="s">
        <v>454</v>
      </c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74"/>
    </row>
    <row r="57" spans="2:20" ht="15.75" thickBot="1" x14ac:dyDescent="0.3">
      <c r="B57" s="82" t="s">
        <v>455</v>
      </c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78"/>
    </row>
    <row r="58" spans="2:20" ht="15.75" thickBot="1" x14ac:dyDescent="0.3"/>
    <row r="59" spans="2:20" ht="15.75" thickBot="1" x14ac:dyDescent="0.3">
      <c r="B59" s="100" t="s">
        <v>460</v>
      </c>
      <c r="C59" s="101"/>
      <c r="D59" s="102"/>
    </row>
    <row r="60" spans="2:20" x14ac:dyDescent="0.25">
      <c r="B60" s="84" t="s">
        <v>402</v>
      </c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74"/>
    </row>
    <row r="61" spans="2:20" x14ac:dyDescent="0.25">
      <c r="B61" s="84" t="s">
        <v>461</v>
      </c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6"/>
    </row>
    <row r="62" spans="2:20" x14ac:dyDescent="0.25">
      <c r="B62" s="84" t="s">
        <v>463</v>
      </c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6"/>
    </row>
    <row r="63" spans="2:20" x14ac:dyDescent="0.25">
      <c r="B63" s="84" t="s">
        <v>403</v>
      </c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74"/>
    </row>
    <row r="64" spans="2:20" x14ac:dyDescent="0.25">
      <c r="B64" s="84" t="s">
        <v>414</v>
      </c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74"/>
    </row>
    <row r="65" spans="2:20" x14ac:dyDescent="0.25">
      <c r="B65" s="84" t="s">
        <v>462</v>
      </c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6"/>
    </row>
    <row r="66" spans="2:20" x14ac:dyDescent="0.25">
      <c r="B66" s="84" t="s">
        <v>464</v>
      </c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6"/>
    </row>
    <row r="67" spans="2:20" x14ac:dyDescent="0.25">
      <c r="B67" s="84" t="s">
        <v>465</v>
      </c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6"/>
    </row>
    <row r="68" spans="2:20" x14ac:dyDescent="0.25">
      <c r="B68" s="84" t="s">
        <v>466</v>
      </c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6"/>
    </row>
    <row r="69" spans="2:20" x14ac:dyDescent="0.25">
      <c r="B69" s="84" t="s">
        <v>467</v>
      </c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74"/>
    </row>
    <row r="70" spans="2:20" x14ac:dyDescent="0.25">
      <c r="B70" s="84" t="s">
        <v>468</v>
      </c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74"/>
    </row>
    <row r="71" spans="2:20" ht="15" customHeight="1" x14ac:dyDescent="0.25">
      <c r="B71" s="84" t="s">
        <v>469</v>
      </c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74"/>
    </row>
    <row r="72" spans="2:20" x14ac:dyDescent="0.25">
      <c r="B72" s="84" t="s">
        <v>470</v>
      </c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74"/>
    </row>
    <row r="73" spans="2:20" x14ac:dyDescent="0.25">
      <c r="B73" s="84" t="s">
        <v>471</v>
      </c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74"/>
    </row>
    <row r="74" spans="2:20" x14ac:dyDescent="0.25">
      <c r="B74" s="84" t="s">
        <v>413</v>
      </c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74"/>
    </row>
    <row r="75" spans="2:20" x14ac:dyDescent="0.25">
      <c r="B75" s="84" t="s">
        <v>473</v>
      </c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6"/>
    </row>
    <row r="76" spans="2:20" x14ac:dyDescent="0.25">
      <c r="B76" s="84" t="s">
        <v>474</v>
      </c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74"/>
    </row>
    <row r="77" spans="2:20" ht="15" customHeight="1" x14ac:dyDescent="0.25">
      <c r="B77" s="87" t="s">
        <v>475</v>
      </c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9"/>
    </row>
    <row r="78" spans="2:20" ht="15" customHeight="1" x14ac:dyDescent="0.25">
      <c r="B78" s="84" t="s">
        <v>476</v>
      </c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74"/>
    </row>
    <row r="79" spans="2:20" x14ac:dyDescent="0.25">
      <c r="B79" s="84" t="s">
        <v>472</v>
      </c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74"/>
    </row>
    <row r="80" spans="2:20" x14ac:dyDescent="0.25">
      <c r="B80" s="84" t="s">
        <v>477</v>
      </c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74"/>
    </row>
    <row r="81" spans="2:20" x14ac:dyDescent="0.25">
      <c r="B81" s="84" t="s">
        <v>478</v>
      </c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74"/>
    </row>
    <row r="82" spans="2:20" ht="15.75" thickBot="1" x14ac:dyDescent="0.3">
      <c r="B82" s="82" t="s">
        <v>479</v>
      </c>
      <c r="C82" s="83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78"/>
    </row>
  </sheetData>
  <mergeCells count="72">
    <mergeCell ref="B81:S81"/>
    <mergeCell ref="B82:S82"/>
    <mergeCell ref="B66:T66"/>
    <mergeCell ref="B67:T67"/>
    <mergeCell ref="B68:T68"/>
    <mergeCell ref="B69:S69"/>
    <mergeCell ref="B70:S70"/>
    <mergeCell ref="B71:S71"/>
    <mergeCell ref="B72:S72"/>
    <mergeCell ref="B73:S73"/>
    <mergeCell ref="B74:S74"/>
    <mergeCell ref="B78:S78"/>
    <mergeCell ref="B77:T77"/>
    <mergeCell ref="B75:T75"/>
    <mergeCell ref="B76:S76"/>
    <mergeCell ref="B79:S79"/>
    <mergeCell ref="B80:S80"/>
    <mergeCell ref="B62:T62"/>
    <mergeCell ref="B63:S63"/>
    <mergeCell ref="B64:S64"/>
    <mergeCell ref="B65:T65"/>
    <mergeCell ref="B59:D59"/>
    <mergeCell ref="B60:S60"/>
    <mergeCell ref="B61:T61"/>
    <mergeCell ref="B4:O4"/>
    <mergeCell ref="B7:R7"/>
    <mergeCell ref="B10:R10"/>
    <mergeCell ref="B41:D41"/>
    <mergeCell ref="B30:S30"/>
    <mergeCell ref="B31:S31"/>
    <mergeCell ref="B32:S32"/>
    <mergeCell ref="B25:T25"/>
    <mergeCell ref="B26:T26"/>
    <mergeCell ref="B27:S27"/>
    <mergeCell ref="B28:S28"/>
    <mergeCell ref="B29:S29"/>
    <mergeCell ref="B42:S42"/>
    <mergeCell ref="F2:N2"/>
    <mergeCell ref="B13:T13"/>
    <mergeCell ref="B24:S24"/>
    <mergeCell ref="B21:T21"/>
    <mergeCell ref="B14:T14"/>
    <mergeCell ref="B15:T15"/>
    <mergeCell ref="B16:T16"/>
    <mergeCell ref="B17:T17"/>
    <mergeCell ref="B19:D19"/>
    <mergeCell ref="Q2:S2"/>
    <mergeCell ref="B20:S20"/>
    <mergeCell ref="B22:T22"/>
    <mergeCell ref="B23:S23"/>
    <mergeCell ref="B43:T43"/>
    <mergeCell ref="B47:T47"/>
    <mergeCell ref="B48:S48"/>
    <mergeCell ref="B49:S49"/>
    <mergeCell ref="B57:S57"/>
    <mergeCell ref="B44:T44"/>
    <mergeCell ref="B45:S45"/>
    <mergeCell ref="B46:S46"/>
    <mergeCell ref="B54:S54"/>
    <mergeCell ref="B56:S56"/>
    <mergeCell ref="B50:T50"/>
    <mergeCell ref="B51:T51"/>
    <mergeCell ref="B52:S52"/>
    <mergeCell ref="B53:S53"/>
    <mergeCell ref="B55:S55"/>
    <mergeCell ref="B39:S39"/>
    <mergeCell ref="B37:S37"/>
    <mergeCell ref="B38:S38"/>
    <mergeCell ref="B33:T33"/>
    <mergeCell ref="B34:S34"/>
    <mergeCell ref="B35:T35"/>
    <mergeCell ref="B36:S36"/>
  </mergeCells>
  <hyperlinks>
    <hyperlink ref="Q2" location="Instructions!A1" display="Instructions"/>
    <hyperlink ref="Q2:S2" location="'Tool Control'!A1" display="ChartSync Tool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G4:P22"/>
  <sheetViews>
    <sheetView showGridLines="0" workbookViewId="0">
      <selection activeCell="I15" sqref="I15"/>
    </sheetView>
  </sheetViews>
  <sheetFormatPr defaultRowHeight="15" x14ac:dyDescent="0.25"/>
  <cols>
    <col min="14" max="14" width="11.42578125" bestFit="1" customWidth="1"/>
  </cols>
  <sheetData>
    <row r="4" spans="10:12" x14ac:dyDescent="0.25">
      <c r="J4" s="20"/>
    </row>
    <row r="14" spans="10:12" x14ac:dyDescent="0.25">
      <c r="L14" t="s">
        <v>251</v>
      </c>
    </row>
    <row r="20" spans="7:16" ht="15.75" thickBot="1" x14ac:dyDescent="0.3">
      <c r="G20" t="s">
        <v>251</v>
      </c>
    </row>
    <row r="21" spans="7:16" ht="24.75" thickTop="1" thickBot="1" x14ac:dyDescent="0.4">
      <c r="M21" s="103" t="s">
        <v>401</v>
      </c>
      <c r="N21" s="104"/>
      <c r="O21" s="104"/>
      <c r="P21" s="105"/>
    </row>
    <row r="22" spans="7:16" ht="15.75" thickTop="1" x14ac:dyDescent="0.25"/>
  </sheetData>
  <mergeCells count="1">
    <mergeCell ref="M21:P21"/>
  </mergeCells>
  <hyperlinks>
    <hyperlink ref="M21" location="Instructions!A1" display="Instructions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olStart_Click">
                <anchor moveWithCells="1">
                  <from>
                    <xdr:col>6</xdr:col>
                    <xdr:colOff>504825</xdr:colOff>
                    <xdr:row>10</xdr:row>
                    <xdr:rowOff>133350</xdr:rowOff>
                  </from>
                  <to>
                    <xdr:col>10</xdr:col>
                    <xdr:colOff>47625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E40"/>
  <sheetViews>
    <sheetView topLeftCell="A4" workbookViewId="0">
      <selection activeCell="C7" sqref="C7"/>
    </sheetView>
  </sheetViews>
  <sheetFormatPr defaultRowHeight="15" x14ac:dyDescent="0.25"/>
  <cols>
    <col min="1" max="1" width="12" customWidth="1"/>
    <col min="2" max="2" width="23.42578125" customWidth="1"/>
    <col min="3" max="3" width="66.7109375" customWidth="1"/>
    <col min="4" max="4" width="15.42578125" bestFit="1" customWidth="1"/>
    <col min="5" max="5" width="18.28515625" bestFit="1" customWidth="1"/>
  </cols>
  <sheetData>
    <row r="1" spans="1:5" s="21" customFormat="1" x14ac:dyDescent="0.25">
      <c r="A1" s="24" t="s">
        <v>86</v>
      </c>
      <c r="B1" s="24" t="s">
        <v>1</v>
      </c>
      <c r="C1" s="24" t="s">
        <v>87</v>
      </c>
    </row>
    <row r="2" spans="1:5" x14ac:dyDescent="0.25">
      <c r="A2" s="23">
        <v>1</v>
      </c>
      <c r="B2" s="25" t="s">
        <v>88</v>
      </c>
      <c r="C2" s="14" t="s">
        <v>559</v>
      </c>
      <c r="D2" s="14" t="s">
        <v>559</v>
      </c>
      <c r="E2" s="14" t="s">
        <v>248</v>
      </c>
    </row>
    <row r="3" spans="1:5" x14ac:dyDescent="0.25">
      <c r="A3" s="23">
        <v>2</v>
      </c>
      <c r="B3" s="25" t="s">
        <v>89</v>
      </c>
      <c r="C3" s="14" t="s">
        <v>558</v>
      </c>
      <c r="D3" s="14" t="s">
        <v>558</v>
      </c>
      <c r="E3" s="14" t="s">
        <v>247</v>
      </c>
    </row>
    <row r="4" spans="1:5" x14ac:dyDescent="0.25">
      <c r="A4" s="23">
        <v>3</v>
      </c>
      <c r="B4" s="25" t="s">
        <v>90</v>
      </c>
      <c r="C4" s="14" t="s">
        <v>417</v>
      </c>
    </row>
    <row r="5" spans="1:5" x14ac:dyDescent="0.25">
      <c r="A5" s="23">
        <v>4</v>
      </c>
      <c r="B5" s="25" t="s">
        <v>91</v>
      </c>
      <c r="C5" s="14" t="s">
        <v>535</v>
      </c>
    </row>
    <row r="6" spans="1:5" x14ac:dyDescent="0.25">
      <c r="A6" s="23">
        <v>5</v>
      </c>
      <c r="B6" s="25" t="s">
        <v>92</v>
      </c>
      <c r="C6" s="28" t="s">
        <v>93</v>
      </c>
    </row>
    <row r="7" spans="1:5" ht="75" x14ac:dyDescent="0.25">
      <c r="A7" s="23">
        <v>6</v>
      </c>
      <c r="B7" s="26" t="s">
        <v>94</v>
      </c>
      <c r="C7" s="13" t="s">
        <v>563</v>
      </c>
    </row>
    <row r="8" spans="1:5" ht="60" x14ac:dyDescent="0.25">
      <c r="A8" s="23">
        <v>7</v>
      </c>
      <c r="B8" s="26" t="s">
        <v>100</v>
      </c>
      <c r="C8" s="13" t="s">
        <v>564</v>
      </c>
    </row>
    <row r="9" spans="1:5" x14ac:dyDescent="0.25">
      <c r="A9" s="23">
        <v>8</v>
      </c>
      <c r="B9" s="26" t="s">
        <v>98</v>
      </c>
      <c r="C9" s="29" t="s">
        <v>99</v>
      </c>
    </row>
    <row r="10" spans="1:5" x14ac:dyDescent="0.25">
      <c r="A10" s="23">
        <v>9</v>
      </c>
      <c r="B10" s="26" t="s">
        <v>96</v>
      </c>
      <c r="C10" s="29" t="s">
        <v>65</v>
      </c>
    </row>
    <row r="11" spans="1:5" x14ac:dyDescent="0.25">
      <c r="A11" s="23">
        <v>10</v>
      </c>
      <c r="B11" s="27" t="s">
        <v>95</v>
      </c>
      <c r="C11" s="29" t="s">
        <v>97</v>
      </c>
    </row>
    <row r="12" spans="1:5" x14ac:dyDescent="0.25">
      <c r="A12" s="23">
        <v>11</v>
      </c>
      <c r="B12" s="27" t="s">
        <v>214</v>
      </c>
      <c r="C12" s="29" t="s">
        <v>215</v>
      </c>
    </row>
    <row r="13" spans="1:5" ht="60" x14ac:dyDescent="0.25">
      <c r="A13" s="23">
        <v>12</v>
      </c>
      <c r="B13" s="26" t="s">
        <v>239</v>
      </c>
      <c r="C13" s="34" t="s">
        <v>249</v>
      </c>
      <c r="D13" s="35"/>
    </row>
    <row r="14" spans="1:5" ht="45" x14ac:dyDescent="0.25">
      <c r="A14" s="23">
        <v>13</v>
      </c>
      <c r="B14" s="26" t="s">
        <v>240</v>
      </c>
      <c r="C14" s="13" t="s">
        <v>250</v>
      </c>
    </row>
    <row r="15" spans="1:5" x14ac:dyDescent="0.25">
      <c r="A15" s="23">
        <v>14</v>
      </c>
      <c r="B15" s="26" t="s">
        <v>241</v>
      </c>
      <c r="C15" s="29" t="s">
        <v>245</v>
      </c>
    </row>
    <row r="16" spans="1:5" ht="120" x14ac:dyDescent="0.25">
      <c r="A16" s="23">
        <v>15</v>
      </c>
      <c r="B16" s="79" t="s">
        <v>489</v>
      </c>
      <c r="C16" s="66" t="s">
        <v>551</v>
      </c>
    </row>
    <row r="17" spans="1:3" x14ac:dyDescent="0.25">
      <c r="A17" s="23">
        <v>16</v>
      </c>
      <c r="B17" s="79" t="s">
        <v>546</v>
      </c>
      <c r="C17" s="66" t="s">
        <v>547</v>
      </c>
    </row>
    <row r="18" spans="1:3" x14ac:dyDescent="0.25">
      <c r="A18" s="23">
        <v>17</v>
      </c>
      <c r="B18" s="79" t="s">
        <v>490</v>
      </c>
      <c r="C18" s="29" t="s">
        <v>492</v>
      </c>
    </row>
    <row r="19" spans="1:3" x14ac:dyDescent="0.25">
      <c r="A19" s="23">
        <v>18</v>
      </c>
      <c r="B19" s="79" t="s">
        <v>491</v>
      </c>
      <c r="C19" s="29" t="s">
        <v>65</v>
      </c>
    </row>
    <row r="20" spans="1:3" ht="150" x14ac:dyDescent="0.25">
      <c r="A20" s="23">
        <v>19</v>
      </c>
      <c r="B20" s="65" t="s">
        <v>353</v>
      </c>
      <c r="C20" s="66" t="s">
        <v>562</v>
      </c>
    </row>
    <row r="21" spans="1:3" x14ac:dyDescent="0.25">
      <c r="A21" s="23">
        <v>20</v>
      </c>
      <c r="B21" s="65" t="s">
        <v>351</v>
      </c>
      <c r="C21" s="29" t="s">
        <v>350</v>
      </c>
    </row>
    <row r="22" spans="1:3" x14ac:dyDescent="0.25">
      <c r="A22" s="23">
        <v>21</v>
      </c>
      <c r="B22" s="65" t="s">
        <v>352</v>
      </c>
      <c r="C22" s="29" t="s">
        <v>65</v>
      </c>
    </row>
    <row r="23" spans="1:3" ht="150" x14ac:dyDescent="0.25">
      <c r="A23" s="23">
        <v>22</v>
      </c>
      <c r="B23" s="81" t="s">
        <v>588</v>
      </c>
      <c r="C23" s="66" t="s">
        <v>562</v>
      </c>
    </row>
    <row r="24" spans="1:3" x14ac:dyDescent="0.25">
      <c r="A24" s="23">
        <v>23</v>
      </c>
      <c r="B24" s="81" t="s">
        <v>589</v>
      </c>
      <c r="C24" s="29" t="s">
        <v>350</v>
      </c>
    </row>
    <row r="25" spans="1:3" x14ac:dyDescent="0.25">
      <c r="A25" s="23">
        <v>24</v>
      </c>
      <c r="B25" s="81" t="s">
        <v>352</v>
      </c>
      <c r="C25" s="29" t="s">
        <v>65</v>
      </c>
    </row>
    <row r="26" spans="1:3" x14ac:dyDescent="0.25">
      <c r="A26" s="22"/>
    </row>
    <row r="27" spans="1:3" x14ac:dyDescent="0.25">
      <c r="A27" s="22"/>
    </row>
    <row r="28" spans="1:3" x14ac:dyDescent="0.25">
      <c r="A28" s="22"/>
    </row>
    <row r="29" spans="1:3" x14ac:dyDescent="0.25">
      <c r="A29" s="22"/>
    </row>
    <row r="30" spans="1:3" x14ac:dyDescent="0.25">
      <c r="A30" s="22"/>
    </row>
    <row r="31" spans="1:3" x14ac:dyDescent="0.25">
      <c r="A31" s="22"/>
    </row>
    <row r="32" spans="1:3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13"/>
  <sheetViews>
    <sheetView tabSelected="1" workbookViewId="0">
      <pane xSplit="3" ySplit="1" topLeftCell="D2" activePane="bottomRight" state="frozen"/>
      <selection activeCell="B5" sqref="B5"/>
      <selection pane="topRight" activeCell="B5" sqref="B5"/>
      <selection pane="bottomLeft" activeCell="B5" sqref="B5"/>
      <selection pane="bottomRight" activeCell="D58" sqref="D58"/>
    </sheetView>
  </sheetViews>
  <sheetFormatPr defaultRowHeight="15" x14ac:dyDescent="0.25"/>
  <cols>
    <col min="1" max="1" width="10.140625" style="1" customWidth="1"/>
    <col min="2" max="2" width="15.7109375" style="7" customWidth="1"/>
    <col min="3" max="3" width="39" style="1" customWidth="1"/>
    <col min="4" max="5" width="27.85546875" style="1" customWidth="1"/>
    <col min="6" max="6" width="31.7109375" style="1" bestFit="1" customWidth="1"/>
    <col min="7" max="9" width="27.85546875" style="1" customWidth="1"/>
    <col min="10" max="16384" width="9.140625" style="1"/>
  </cols>
  <sheetData>
    <row r="1" spans="1:9" x14ac:dyDescent="0.25">
      <c r="A1" s="10" t="s">
        <v>0</v>
      </c>
      <c r="B1" s="40" t="s">
        <v>62</v>
      </c>
      <c r="C1" s="10" t="s">
        <v>1</v>
      </c>
      <c r="D1" s="10" t="s">
        <v>61</v>
      </c>
      <c r="E1" s="10" t="s">
        <v>372</v>
      </c>
      <c r="F1" s="10" t="s">
        <v>373</v>
      </c>
      <c r="G1" s="10" t="s">
        <v>374</v>
      </c>
      <c r="H1" s="10" t="s">
        <v>375</v>
      </c>
      <c r="I1" s="10" t="s">
        <v>376</v>
      </c>
    </row>
    <row r="2" spans="1:9" x14ac:dyDescent="0.25">
      <c r="A2" s="41" t="s">
        <v>17</v>
      </c>
      <c r="B2" s="42" t="s">
        <v>63</v>
      </c>
      <c r="C2" s="43" t="s">
        <v>2</v>
      </c>
      <c r="D2" s="15" t="s">
        <v>17</v>
      </c>
      <c r="E2" s="47"/>
      <c r="F2" s="47"/>
      <c r="G2" s="47"/>
      <c r="H2" s="47"/>
      <c r="I2" s="47"/>
    </row>
    <row r="3" spans="1:9" x14ac:dyDescent="0.25">
      <c r="A3" s="44" t="s">
        <v>17</v>
      </c>
      <c r="B3" s="42" t="s">
        <v>63</v>
      </c>
      <c r="C3" s="45" t="s">
        <v>3</v>
      </c>
      <c r="D3" s="46" t="s">
        <v>628</v>
      </c>
      <c r="E3" s="47"/>
      <c r="F3" s="47"/>
      <c r="G3" s="47"/>
      <c r="H3" s="47"/>
      <c r="I3" s="47"/>
    </row>
    <row r="4" spans="1:9" x14ac:dyDescent="0.25">
      <c r="A4" s="44" t="s">
        <v>17</v>
      </c>
      <c r="B4" s="42" t="s">
        <v>63</v>
      </c>
      <c r="C4" s="47" t="s">
        <v>4</v>
      </c>
      <c r="D4" s="15" t="s">
        <v>65</v>
      </c>
      <c r="E4" s="47"/>
      <c r="F4" s="47"/>
      <c r="G4" s="47"/>
      <c r="H4" s="47"/>
      <c r="I4" s="47"/>
    </row>
    <row r="5" spans="1:9" x14ac:dyDescent="0.25">
      <c r="A5" s="44" t="s">
        <v>17</v>
      </c>
      <c r="B5" s="42" t="s">
        <v>63</v>
      </c>
      <c r="C5" s="48" t="s">
        <v>5</v>
      </c>
      <c r="D5" s="15" t="s">
        <v>83</v>
      </c>
      <c r="E5" s="47"/>
      <c r="F5" s="47"/>
      <c r="G5" s="47"/>
      <c r="H5" s="47"/>
      <c r="I5" s="47"/>
    </row>
    <row r="6" spans="1:9" x14ac:dyDescent="0.25">
      <c r="A6" s="44" t="s">
        <v>17</v>
      </c>
      <c r="B6" s="42" t="s">
        <v>63</v>
      </c>
      <c r="C6" s="47" t="s">
        <v>6</v>
      </c>
      <c r="D6" s="49" t="s">
        <v>101</v>
      </c>
      <c r="E6" s="47"/>
      <c r="F6" s="47"/>
      <c r="G6" s="47"/>
      <c r="H6" s="47"/>
      <c r="I6" s="47"/>
    </row>
    <row r="7" spans="1:9" x14ac:dyDescent="0.25">
      <c r="A7" s="44" t="s">
        <v>17</v>
      </c>
      <c r="B7" s="42" t="s">
        <v>63</v>
      </c>
      <c r="C7" s="47" t="s">
        <v>7</v>
      </c>
      <c r="D7" s="15" t="s">
        <v>102</v>
      </c>
      <c r="E7" s="47"/>
      <c r="F7" s="47"/>
      <c r="G7" s="47"/>
      <c r="H7" s="47"/>
      <c r="I7" s="47"/>
    </row>
    <row r="8" spans="1:9" x14ac:dyDescent="0.25">
      <c r="A8" s="44" t="s">
        <v>17</v>
      </c>
      <c r="B8" s="42" t="s">
        <v>63</v>
      </c>
      <c r="C8" s="47" t="s">
        <v>8</v>
      </c>
      <c r="D8" s="15" t="s">
        <v>103</v>
      </c>
      <c r="E8" s="47"/>
      <c r="F8" s="47"/>
      <c r="G8" s="47"/>
      <c r="H8" s="47"/>
      <c r="I8" s="47"/>
    </row>
    <row r="9" spans="1:9" x14ac:dyDescent="0.25">
      <c r="A9" s="44" t="s">
        <v>17</v>
      </c>
      <c r="B9" s="42" t="s">
        <v>63</v>
      </c>
      <c r="C9" s="47" t="s">
        <v>9</v>
      </c>
      <c r="D9" s="15" t="s">
        <v>627</v>
      </c>
      <c r="E9" s="47"/>
      <c r="F9" s="47"/>
      <c r="G9" s="47"/>
      <c r="H9" s="47"/>
      <c r="I9" s="47"/>
    </row>
    <row r="10" spans="1:9" x14ac:dyDescent="0.25">
      <c r="A10" s="44" t="s">
        <v>17</v>
      </c>
      <c r="B10" s="42" t="s">
        <v>63</v>
      </c>
      <c r="C10" s="47" t="s">
        <v>10</v>
      </c>
      <c r="D10" s="15" t="s">
        <v>621</v>
      </c>
      <c r="E10" s="47"/>
      <c r="F10" s="47"/>
      <c r="G10" s="47"/>
      <c r="H10" s="47"/>
      <c r="I10" s="47"/>
    </row>
    <row r="11" spans="1:9" x14ac:dyDescent="0.25">
      <c r="A11" s="44" t="s">
        <v>17</v>
      </c>
      <c r="B11" s="42" t="s">
        <v>63</v>
      </c>
      <c r="C11" s="47" t="s">
        <v>11</v>
      </c>
      <c r="D11" s="16" t="s">
        <v>299</v>
      </c>
      <c r="E11" s="47"/>
      <c r="F11" s="47"/>
      <c r="G11" s="47"/>
      <c r="H11" s="47"/>
      <c r="I11" s="47"/>
    </row>
    <row r="12" spans="1:9" x14ac:dyDescent="0.25">
      <c r="A12" s="44" t="s">
        <v>17</v>
      </c>
      <c r="B12" s="42" t="s">
        <v>63</v>
      </c>
      <c r="C12" s="47" t="s">
        <v>12</v>
      </c>
      <c r="D12" s="16" t="s">
        <v>300</v>
      </c>
      <c r="E12" s="47"/>
      <c r="F12" s="47"/>
      <c r="G12" s="47"/>
      <c r="H12" s="47"/>
      <c r="I12" s="47"/>
    </row>
    <row r="13" spans="1:9" x14ac:dyDescent="0.25">
      <c r="A13" s="44" t="s">
        <v>17</v>
      </c>
      <c r="B13" s="42" t="s">
        <v>63</v>
      </c>
      <c r="C13" s="47" t="s">
        <v>13</v>
      </c>
      <c r="D13" s="16" t="s">
        <v>301</v>
      </c>
      <c r="E13" s="47"/>
      <c r="F13" s="47"/>
      <c r="G13" s="47"/>
      <c r="H13" s="47"/>
      <c r="I13" s="47"/>
    </row>
    <row r="14" spans="1:9" x14ac:dyDescent="0.25">
      <c r="A14" s="44" t="s">
        <v>17</v>
      </c>
      <c r="B14" s="42" t="s">
        <v>63</v>
      </c>
      <c r="C14" s="47" t="s">
        <v>14</v>
      </c>
      <c r="D14" s="16" t="s">
        <v>299</v>
      </c>
      <c r="E14" s="47"/>
      <c r="F14" s="47"/>
      <c r="G14" s="47"/>
      <c r="H14" s="47"/>
      <c r="I14" s="47"/>
    </row>
    <row r="15" spans="1:9" x14ac:dyDescent="0.25">
      <c r="A15" s="44" t="s">
        <v>17</v>
      </c>
      <c r="B15" s="42" t="s">
        <v>63</v>
      </c>
      <c r="C15" s="47" t="s">
        <v>18</v>
      </c>
      <c r="D15" s="15" t="s">
        <v>302</v>
      </c>
      <c r="E15" s="47"/>
      <c r="F15" s="47"/>
      <c r="G15" s="47"/>
      <c r="H15" s="47"/>
      <c r="I15" s="47"/>
    </row>
    <row r="16" spans="1:9" x14ac:dyDescent="0.25">
      <c r="A16" s="50" t="s">
        <v>17</v>
      </c>
      <c r="B16" s="42" t="s">
        <v>63</v>
      </c>
      <c r="C16" s="47" t="s">
        <v>19</v>
      </c>
      <c r="D16" s="15" t="s">
        <v>81</v>
      </c>
      <c r="E16" s="47"/>
      <c r="F16" s="47"/>
      <c r="G16" s="47"/>
      <c r="H16" s="47"/>
      <c r="I16" s="47"/>
    </row>
    <row r="17" spans="1:9" x14ac:dyDescent="0.25">
      <c r="A17" s="51" t="s">
        <v>17</v>
      </c>
      <c r="B17" s="42" t="s">
        <v>63</v>
      </c>
      <c r="C17" s="47" t="s">
        <v>166</v>
      </c>
      <c r="D17" s="15" t="s">
        <v>238</v>
      </c>
      <c r="E17" s="47"/>
      <c r="F17" s="47"/>
      <c r="G17" s="47"/>
      <c r="H17" s="47"/>
      <c r="I17" s="47"/>
    </row>
    <row r="18" spans="1:9" x14ac:dyDescent="0.25">
      <c r="A18" s="44" t="s">
        <v>17</v>
      </c>
      <c r="B18" s="42" t="s">
        <v>63</v>
      </c>
      <c r="C18" s="47" t="s">
        <v>533</v>
      </c>
      <c r="D18" s="16" t="s">
        <v>614</v>
      </c>
      <c r="E18" s="47"/>
      <c r="F18" s="47"/>
      <c r="G18" s="47"/>
      <c r="H18" s="47"/>
      <c r="I18" s="47"/>
    </row>
    <row r="19" spans="1:9" x14ac:dyDescent="0.25">
      <c r="A19" s="44" t="s">
        <v>29</v>
      </c>
      <c r="B19" s="42" t="s">
        <v>63</v>
      </c>
      <c r="C19" s="47" t="s">
        <v>2</v>
      </c>
      <c r="D19" s="15" t="s">
        <v>29</v>
      </c>
      <c r="E19" s="47"/>
      <c r="F19" s="47"/>
      <c r="G19" s="47"/>
      <c r="H19" s="47"/>
      <c r="I19" s="47"/>
    </row>
    <row r="20" spans="1:9" x14ac:dyDescent="0.25">
      <c r="A20" s="44" t="s">
        <v>29</v>
      </c>
      <c r="B20" s="42" t="s">
        <v>63</v>
      </c>
      <c r="C20" s="52" t="s">
        <v>20</v>
      </c>
      <c r="D20" s="16" t="s">
        <v>66</v>
      </c>
      <c r="E20" s="47"/>
      <c r="F20" s="47"/>
      <c r="G20" s="47"/>
      <c r="H20" s="47"/>
      <c r="I20" s="47"/>
    </row>
    <row r="21" spans="1:9" x14ac:dyDescent="0.25">
      <c r="A21" s="44" t="s">
        <v>29</v>
      </c>
      <c r="B21" s="42" t="s">
        <v>63</v>
      </c>
      <c r="C21" s="52" t="s">
        <v>21</v>
      </c>
      <c r="D21" s="15" t="s">
        <v>626</v>
      </c>
      <c r="E21" s="47"/>
      <c r="F21" s="47"/>
      <c r="G21" s="47"/>
      <c r="H21" s="47"/>
      <c r="I21" s="47"/>
    </row>
    <row r="22" spans="1:9" x14ac:dyDescent="0.25">
      <c r="A22" s="44" t="s">
        <v>29</v>
      </c>
      <c r="B22" s="42" t="s">
        <v>63</v>
      </c>
      <c r="C22" s="52" t="s">
        <v>22</v>
      </c>
      <c r="D22" s="15" t="s">
        <v>622</v>
      </c>
      <c r="E22" s="47"/>
      <c r="F22" s="47"/>
      <c r="G22" s="47"/>
      <c r="H22" s="47"/>
      <c r="I22" s="47"/>
    </row>
    <row r="23" spans="1:9" x14ac:dyDescent="0.25">
      <c r="A23" s="44" t="s">
        <v>29</v>
      </c>
      <c r="B23" s="42" t="s">
        <v>63</v>
      </c>
      <c r="C23" s="52" t="s">
        <v>23</v>
      </c>
      <c r="D23" s="15" t="s">
        <v>623</v>
      </c>
      <c r="E23" s="47"/>
      <c r="F23" s="47"/>
      <c r="G23" s="47"/>
      <c r="H23" s="47"/>
      <c r="I23" s="47"/>
    </row>
    <row r="24" spans="1:9" x14ac:dyDescent="0.25">
      <c r="A24" s="44" t="s">
        <v>29</v>
      </c>
      <c r="B24" s="42" t="s">
        <v>63</v>
      </c>
      <c r="C24" s="52" t="s">
        <v>24</v>
      </c>
      <c r="D24" s="15" t="s">
        <v>623</v>
      </c>
      <c r="E24" s="15"/>
      <c r="F24" s="47"/>
      <c r="G24" s="47"/>
      <c r="H24" s="47"/>
      <c r="I24" s="47"/>
    </row>
    <row r="25" spans="1:9" x14ac:dyDescent="0.25">
      <c r="A25" s="50" t="s">
        <v>29</v>
      </c>
      <c r="B25" s="42" t="s">
        <v>63</v>
      </c>
      <c r="C25" s="47" t="s">
        <v>25</v>
      </c>
      <c r="D25" s="53" t="s">
        <v>67</v>
      </c>
      <c r="E25" s="47"/>
      <c r="F25" s="47"/>
      <c r="G25" s="47"/>
      <c r="H25" s="47"/>
      <c r="I25" s="47"/>
    </row>
    <row r="26" spans="1:9" x14ac:dyDescent="0.25">
      <c r="A26" s="50" t="s">
        <v>29</v>
      </c>
      <c r="B26" s="42" t="s">
        <v>63</v>
      </c>
      <c r="C26" s="47" t="s">
        <v>26</v>
      </c>
      <c r="D26" s="54" t="s">
        <v>85</v>
      </c>
      <c r="E26" s="47"/>
      <c r="F26" s="47"/>
      <c r="G26" s="47"/>
      <c r="H26" s="47"/>
      <c r="I26" s="47"/>
    </row>
    <row r="27" spans="1:9" x14ac:dyDescent="0.25">
      <c r="A27" s="44" t="s">
        <v>29</v>
      </c>
      <c r="B27" s="44" t="s">
        <v>63</v>
      </c>
      <c r="C27" s="47" t="s">
        <v>27</v>
      </c>
      <c r="D27" s="15" t="s">
        <v>544</v>
      </c>
      <c r="E27" s="15" t="s">
        <v>553</v>
      </c>
      <c r="F27" s="15" t="s">
        <v>554</v>
      </c>
      <c r="G27" s="15" t="s">
        <v>598</v>
      </c>
      <c r="H27" s="15" t="s">
        <v>544</v>
      </c>
      <c r="I27" s="15" t="s">
        <v>598</v>
      </c>
    </row>
    <row r="28" spans="1:9" x14ac:dyDescent="0.25">
      <c r="A28" s="44" t="s">
        <v>29</v>
      </c>
      <c r="B28" s="44" t="s">
        <v>63</v>
      </c>
      <c r="C28" s="47" t="s">
        <v>28</v>
      </c>
      <c r="D28" s="15" t="s">
        <v>544</v>
      </c>
      <c r="E28" s="15" t="s">
        <v>553</v>
      </c>
      <c r="F28" s="15" t="s">
        <v>555</v>
      </c>
      <c r="G28" s="15" t="s">
        <v>599</v>
      </c>
      <c r="H28" s="15" t="s">
        <v>544</v>
      </c>
      <c r="I28" s="15" t="s">
        <v>599</v>
      </c>
    </row>
    <row r="29" spans="1:9" x14ac:dyDescent="0.25">
      <c r="A29" s="44" t="s">
        <v>29</v>
      </c>
      <c r="B29" s="42" t="s">
        <v>63</v>
      </c>
      <c r="C29" s="47" t="s">
        <v>30</v>
      </c>
      <c r="D29" s="15" t="s">
        <v>68</v>
      </c>
      <c r="E29" s="47"/>
      <c r="F29" s="47"/>
      <c r="G29" s="47"/>
      <c r="H29" s="47"/>
      <c r="I29" s="47"/>
    </row>
    <row r="30" spans="1:9" x14ac:dyDescent="0.25">
      <c r="A30" s="44" t="s">
        <v>29</v>
      </c>
      <c r="B30" s="42" t="s">
        <v>63</v>
      </c>
      <c r="C30" s="47" t="s">
        <v>31</v>
      </c>
      <c r="D30" s="16" t="s">
        <v>69</v>
      </c>
      <c r="E30" s="47"/>
      <c r="F30" s="47"/>
      <c r="G30" s="47"/>
      <c r="H30" s="47"/>
      <c r="I30" s="47"/>
    </row>
    <row r="31" spans="1:9" x14ac:dyDescent="0.25">
      <c r="A31" s="44" t="s">
        <v>29</v>
      </c>
      <c r="B31" s="44" t="s">
        <v>63</v>
      </c>
      <c r="C31" s="47" t="s">
        <v>32</v>
      </c>
      <c r="D31" s="15" t="s">
        <v>545</v>
      </c>
      <c r="E31" s="15" t="s">
        <v>553</v>
      </c>
      <c r="F31" s="15" t="s">
        <v>555</v>
      </c>
      <c r="G31" s="15" t="s">
        <v>600</v>
      </c>
      <c r="H31" s="15" t="s">
        <v>545</v>
      </c>
      <c r="I31" s="15" t="s">
        <v>600</v>
      </c>
    </row>
    <row r="32" spans="1:9" x14ac:dyDescent="0.25">
      <c r="A32" s="44" t="s">
        <v>29</v>
      </c>
      <c r="B32" s="42" t="s">
        <v>63</v>
      </c>
      <c r="C32" s="47" t="s">
        <v>33</v>
      </c>
      <c r="D32" s="16" t="s">
        <v>303</v>
      </c>
      <c r="E32" s="47"/>
      <c r="F32" s="47"/>
      <c r="G32" s="47"/>
      <c r="H32" s="47"/>
      <c r="I32" s="47"/>
    </row>
    <row r="33" spans="1:9" x14ac:dyDescent="0.25">
      <c r="A33" s="44" t="s">
        <v>29</v>
      </c>
      <c r="B33" s="42" t="s">
        <v>63</v>
      </c>
      <c r="C33" s="47" t="s">
        <v>34</v>
      </c>
      <c r="D33" s="16" t="s">
        <v>70</v>
      </c>
      <c r="E33" s="47"/>
      <c r="F33" s="47"/>
      <c r="G33" s="47"/>
      <c r="H33" s="47"/>
      <c r="I33" s="47"/>
    </row>
    <row r="34" spans="1:9" x14ac:dyDescent="0.25">
      <c r="A34" s="50" t="s">
        <v>29</v>
      </c>
      <c r="B34" s="42" t="s">
        <v>63</v>
      </c>
      <c r="C34" s="47" t="s">
        <v>35</v>
      </c>
      <c r="D34" s="15" t="s">
        <v>304</v>
      </c>
      <c r="E34" s="47"/>
      <c r="F34" s="47"/>
      <c r="G34" s="47"/>
      <c r="H34" s="47"/>
      <c r="I34" s="47"/>
    </row>
    <row r="35" spans="1:9" x14ac:dyDescent="0.25">
      <c r="A35" s="44" t="s">
        <v>29</v>
      </c>
      <c r="B35" s="42" t="s">
        <v>63</v>
      </c>
      <c r="C35" s="47" t="s">
        <v>36</v>
      </c>
      <c r="D35" s="16" t="s">
        <v>71</v>
      </c>
      <c r="E35" s="47"/>
      <c r="F35" s="47"/>
      <c r="G35" s="47"/>
      <c r="H35" s="47"/>
      <c r="I35" s="47"/>
    </row>
    <row r="36" spans="1:9" x14ac:dyDescent="0.25">
      <c r="A36" s="50" t="s">
        <v>29</v>
      </c>
      <c r="B36" s="42" t="s">
        <v>63</v>
      </c>
      <c r="C36" s="47" t="s">
        <v>37</v>
      </c>
      <c r="D36" s="16" t="s">
        <v>165</v>
      </c>
      <c r="E36" s="47"/>
      <c r="F36" s="47"/>
      <c r="G36" s="47"/>
      <c r="H36" s="47"/>
      <c r="I36" s="47"/>
    </row>
    <row r="37" spans="1:9" x14ac:dyDescent="0.25">
      <c r="A37" s="44" t="s">
        <v>29</v>
      </c>
      <c r="B37" s="42" t="s">
        <v>63</v>
      </c>
      <c r="C37" s="47" t="s">
        <v>38</v>
      </c>
      <c r="D37" s="16" t="s">
        <v>615</v>
      </c>
      <c r="E37" s="16"/>
      <c r="F37" s="47"/>
      <c r="G37" s="47"/>
      <c r="H37" s="47"/>
      <c r="I37" s="47"/>
    </row>
    <row r="38" spans="1:9" x14ac:dyDescent="0.25">
      <c r="A38" s="50" t="s">
        <v>29</v>
      </c>
      <c r="B38" s="42" t="s">
        <v>63</v>
      </c>
      <c r="C38" s="47" t="s">
        <v>39</v>
      </c>
      <c r="D38" s="15" t="s">
        <v>294</v>
      </c>
      <c r="E38" s="15"/>
      <c r="F38" s="47"/>
      <c r="G38" s="47"/>
      <c r="H38" s="47"/>
      <c r="I38" s="47"/>
    </row>
    <row r="39" spans="1:9" x14ac:dyDescent="0.25">
      <c r="A39" s="50" t="s">
        <v>29</v>
      </c>
      <c r="B39" s="42" t="s">
        <v>63</v>
      </c>
      <c r="C39" s="47" t="s">
        <v>40</v>
      </c>
      <c r="D39" s="15" t="s">
        <v>616</v>
      </c>
      <c r="E39" s="15"/>
      <c r="F39" s="47"/>
      <c r="G39" s="47"/>
      <c r="H39" s="47"/>
      <c r="I39" s="47"/>
    </row>
    <row r="40" spans="1:9" x14ac:dyDescent="0.25">
      <c r="A40" s="51" t="s">
        <v>29</v>
      </c>
      <c r="B40" s="42" t="s">
        <v>63</v>
      </c>
      <c r="C40" s="47" t="s">
        <v>297</v>
      </c>
      <c r="D40" s="16" t="s">
        <v>244</v>
      </c>
      <c r="E40" s="16"/>
      <c r="F40" s="47"/>
      <c r="G40" s="47"/>
      <c r="H40" s="47"/>
      <c r="I40" s="47"/>
    </row>
    <row r="41" spans="1:9" x14ac:dyDescent="0.25">
      <c r="A41" s="51" t="s">
        <v>29</v>
      </c>
      <c r="B41" s="42" t="s">
        <v>63</v>
      </c>
      <c r="C41" s="47" t="s">
        <v>41</v>
      </c>
      <c r="D41" s="15" t="s">
        <v>613</v>
      </c>
      <c r="E41" s="15"/>
      <c r="F41" s="47"/>
      <c r="G41" s="47"/>
      <c r="H41" s="47"/>
      <c r="I41" s="47"/>
    </row>
    <row r="42" spans="1:9" x14ac:dyDescent="0.25">
      <c r="A42" s="51" t="s">
        <v>29</v>
      </c>
      <c r="B42" s="42" t="s">
        <v>63</v>
      </c>
      <c r="C42" s="47" t="s">
        <v>42</v>
      </c>
      <c r="D42" s="15" t="s">
        <v>617</v>
      </c>
      <c r="E42" s="15"/>
      <c r="F42" s="47"/>
      <c r="G42" s="47"/>
      <c r="H42" s="47"/>
      <c r="I42" s="47"/>
    </row>
    <row r="43" spans="1:9" x14ac:dyDescent="0.25">
      <c r="A43" s="50" t="s">
        <v>29</v>
      </c>
      <c r="B43" s="42" t="s">
        <v>63</v>
      </c>
      <c r="C43" s="47" t="s">
        <v>43</v>
      </c>
      <c r="D43" s="15" t="s">
        <v>618</v>
      </c>
      <c r="E43" s="15"/>
      <c r="F43" s="47"/>
      <c r="G43" s="47"/>
      <c r="H43" s="47"/>
      <c r="I43" s="47"/>
    </row>
    <row r="44" spans="1:9" x14ac:dyDescent="0.25">
      <c r="A44" s="44" t="s">
        <v>29</v>
      </c>
      <c r="B44" s="42" t="s">
        <v>63</v>
      </c>
      <c r="C44" s="47" t="s">
        <v>44</v>
      </c>
      <c r="D44" s="15" t="s">
        <v>619</v>
      </c>
      <c r="E44" s="15"/>
      <c r="F44" s="47"/>
      <c r="G44" s="47"/>
      <c r="H44" s="47"/>
      <c r="I44" s="47"/>
    </row>
    <row r="45" spans="1:9" x14ac:dyDescent="0.25">
      <c r="A45" s="50" t="s">
        <v>29</v>
      </c>
      <c r="B45" s="42" t="s">
        <v>63</v>
      </c>
      <c r="C45" s="47" t="s">
        <v>45</v>
      </c>
      <c r="D45" s="15" t="s">
        <v>306</v>
      </c>
      <c r="E45" s="15"/>
      <c r="F45" s="47"/>
      <c r="G45" s="47"/>
      <c r="H45" s="47"/>
      <c r="I45" s="47"/>
    </row>
    <row r="46" spans="1:9" x14ac:dyDescent="0.25">
      <c r="A46" s="44" t="s">
        <v>29</v>
      </c>
      <c r="B46" s="42" t="s">
        <v>63</v>
      </c>
      <c r="C46" s="47" t="s">
        <v>46</v>
      </c>
      <c r="D46" s="15" t="s">
        <v>295</v>
      </c>
      <c r="E46" s="15"/>
      <c r="F46" s="47"/>
      <c r="G46" s="47"/>
      <c r="H46" s="47"/>
      <c r="I46" s="47"/>
    </row>
    <row r="47" spans="1:9" x14ac:dyDescent="0.25">
      <c r="A47" s="44" t="s">
        <v>29</v>
      </c>
      <c r="B47" s="42" t="s">
        <v>63</v>
      </c>
      <c r="C47" s="47" t="s">
        <v>47</v>
      </c>
      <c r="D47" s="54" t="s">
        <v>85</v>
      </c>
      <c r="E47" s="54"/>
      <c r="F47" s="47"/>
      <c r="G47" s="47"/>
      <c r="H47" s="47"/>
      <c r="I47" s="47"/>
    </row>
    <row r="48" spans="1:9" x14ac:dyDescent="0.25">
      <c r="A48" s="44" t="s">
        <v>29</v>
      </c>
      <c r="B48" s="42" t="s">
        <v>63</v>
      </c>
      <c r="C48" s="47" t="s">
        <v>48</v>
      </c>
      <c r="D48" s="16" t="s">
        <v>242</v>
      </c>
      <c r="E48" s="16"/>
      <c r="F48" s="47"/>
      <c r="G48" s="47"/>
      <c r="H48" s="47"/>
      <c r="I48" s="47"/>
    </row>
    <row r="49" spans="1:9" x14ac:dyDescent="0.25">
      <c r="A49" s="44" t="s">
        <v>29</v>
      </c>
      <c r="B49" s="42" t="s">
        <v>63</v>
      </c>
      <c r="C49" s="47" t="s">
        <v>49</v>
      </c>
      <c r="D49" s="16" t="s">
        <v>246</v>
      </c>
      <c r="E49" s="47"/>
      <c r="F49" s="47"/>
      <c r="G49" s="47"/>
      <c r="H49" s="47"/>
      <c r="I49" s="47"/>
    </row>
    <row r="50" spans="1:9" x14ac:dyDescent="0.25">
      <c r="A50" s="50" t="s">
        <v>29</v>
      </c>
      <c r="B50" s="42" t="s">
        <v>63</v>
      </c>
      <c r="C50" s="47" t="s">
        <v>50</v>
      </c>
      <c r="D50" s="15" t="s">
        <v>243</v>
      </c>
      <c r="E50" s="47"/>
      <c r="F50" s="47"/>
      <c r="G50" s="47"/>
      <c r="H50" s="47"/>
      <c r="I50" s="47"/>
    </row>
    <row r="51" spans="1:9" x14ac:dyDescent="0.25">
      <c r="A51" s="50" t="s">
        <v>29</v>
      </c>
      <c r="B51" s="42" t="s">
        <v>63</v>
      </c>
      <c r="C51" s="47" t="s">
        <v>51</v>
      </c>
      <c r="D51" s="47" t="s">
        <v>75</v>
      </c>
      <c r="E51" s="47"/>
      <c r="F51" s="47"/>
      <c r="G51" s="47"/>
      <c r="H51" s="47"/>
      <c r="I51" s="47"/>
    </row>
    <row r="52" spans="1:9" x14ac:dyDescent="0.25">
      <c r="A52" s="50" t="s">
        <v>29</v>
      </c>
      <c r="B52" s="42" t="s">
        <v>63</v>
      </c>
      <c r="C52" s="47" t="s">
        <v>52</v>
      </c>
      <c r="D52" s="15" t="s">
        <v>76</v>
      </c>
      <c r="E52" s="47"/>
      <c r="F52" s="47"/>
      <c r="G52" s="47"/>
      <c r="H52" s="47"/>
      <c r="I52" s="47"/>
    </row>
    <row r="53" spans="1:9" x14ac:dyDescent="0.25">
      <c r="A53" s="44" t="s">
        <v>29</v>
      </c>
      <c r="B53" s="42" t="s">
        <v>63</v>
      </c>
      <c r="C53" s="47" t="s">
        <v>53</v>
      </c>
      <c r="D53" s="15" t="s">
        <v>77</v>
      </c>
      <c r="E53" s="47"/>
      <c r="F53" s="47"/>
      <c r="G53" s="47"/>
      <c r="H53" s="47"/>
      <c r="I53" s="47"/>
    </row>
    <row r="54" spans="1:9" x14ac:dyDescent="0.25">
      <c r="A54" s="44" t="s">
        <v>29</v>
      </c>
      <c r="B54" s="42" t="s">
        <v>63</v>
      </c>
      <c r="C54" s="47" t="s">
        <v>54</v>
      </c>
      <c r="D54" s="15" t="s">
        <v>298</v>
      </c>
      <c r="E54" s="47"/>
      <c r="F54" s="47"/>
      <c r="G54" s="47"/>
      <c r="H54" s="47"/>
      <c r="I54" s="47"/>
    </row>
    <row r="55" spans="1:9" x14ac:dyDescent="0.25">
      <c r="A55" s="44" t="s">
        <v>29</v>
      </c>
      <c r="B55" s="42" t="s">
        <v>63</v>
      </c>
      <c r="C55" s="47" t="s">
        <v>55</v>
      </c>
      <c r="D55" s="15" t="s">
        <v>78</v>
      </c>
      <c r="E55" s="47"/>
      <c r="F55" s="47"/>
      <c r="G55" s="47"/>
      <c r="H55" s="47"/>
      <c r="I55" s="47"/>
    </row>
    <row r="56" spans="1:9" x14ac:dyDescent="0.25">
      <c r="A56" s="50" t="s">
        <v>29</v>
      </c>
      <c r="B56" s="42" t="s">
        <v>63</v>
      </c>
      <c r="C56" s="47" t="s">
        <v>56</v>
      </c>
      <c r="D56" s="15" t="s">
        <v>79</v>
      </c>
      <c r="E56" s="47"/>
      <c r="F56" s="47"/>
      <c r="G56" s="47"/>
      <c r="H56" s="47"/>
      <c r="I56" s="47"/>
    </row>
    <row r="57" spans="1:9" x14ac:dyDescent="0.25">
      <c r="A57" s="50" t="s">
        <v>29</v>
      </c>
      <c r="B57" s="42" t="s">
        <v>63</v>
      </c>
      <c r="C57" s="47" t="s">
        <v>57</v>
      </c>
      <c r="D57" s="15" t="s">
        <v>80</v>
      </c>
      <c r="E57" s="47"/>
      <c r="F57" s="47"/>
      <c r="G57" s="47"/>
      <c r="H57" s="47"/>
      <c r="I57" s="47"/>
    </row>
    <row r="58" spans="1:9" x14ac:dyDescent="0.25">
      <c r="A58" s="50" t="s">
        <v>29</v>
      </c>
      <c r="B58" s="42" t="s">
        <v>63</v>
      </c>
      <c r="C58" s="47" t="s">
        <v>58</v>
      </c>
      <c r="D58" s="15" t="s">
        <v>82</v>
      </c>
      <c r="E58" s="47"/>
      <c r="F58" s="47"/>
      <c r="G58" s="47"/>
      <c r="H58" s="47"/>
      <c r="I58" s="47"/>
    </row>
    <row r="59" spans="1:9" x14ac:dyDescent="0.25">
      <c r="A59" s="51" t="s">
        <v>29</v>
      </c>
      <c r="B59" s="42" t="s">
        <v>64</v>
      </c>
      <c r="C59" s="47" t="s">
        <v>104</v>
      </c>
      <c r="D59" s="49" t="s">
        <v>624</v>
      </c>
      <c r="E59" s="47"/>
      <c r="F59" s="47"/>
      <c r="G59" s="47"/>
      <c r="H59" s="47"/>
      <c r="I59" s="47"/>
    </row>
    <row r="60" spans="1:9" x14ac:dyDescent="0.25">
      <c r="A60" s="51" t="s">
        <v>29</v>
      </c>
      <c r="B60" s="42" t="s">
        <v>64</v>
      </c>
      <c r="C60" s="52" t="s">
        <v>105</v>
      </c>
      <c r="D60" s="49" t="s">
        <v>625</v>
      </c>
      <c r="E60" s="47"/>
      <c r="F60" s="47"/>
      <c r="G60" s="47"/>
      <c r="H60" s="47"/>
      <c r="I60" s="47"/>
    </row>
    <row r="61" spans="1:9" x14ac:dyDescent="0.25">
      <c r="A61" s="50" t="s">
        <v>29</v>
      </c>
      <c r="B61" s="42" t="s">
        <v>63</v>
      </c>
      <c r="C61" s="47" t="s">
        <v>106</v>
      </c>
      <c r="D61" s="15" t="s">
        <v>145</v>
      </c>
      <c r="E61" s="47"/>
      <c r="F61" s="47"/>
      <c r="G61" s="47"/>
      <c r="H61" s="47"/>
      <c r="I61" s="47"/>
    </row>
    <row r="62" spans="1:9" x14ac:dyDescent="0.25">
      <c r="A62" s="50" t="s">
        <v>29</v>
      </c>
      <c r="B62" s="42" t="s">
        <v>63</v>
      </c>
      <c r="C62" s="47" t="s">
        <v>107</v>
      </c>
      <c r="D62" s="15" t="s">
        <v>146</v>
      </c>
      <c r="E62" s="47"/>
      <c r="F62" s="47"/>
      <c r="G62" s="47"/>
      <c r="H62" s="47"/>
      <c r="I62" s="47"/>
    </row>
    <row r="63" spans="1:9" x14ac:dyDescent="0.25">
      <c r="A63" s="50" t="s">
        <v>29</v>
      </c>
      <c r="B63" s="42" t="s">
        <v>63</v>
      </c>
      <c r="C63" s="47" t="s">
        <v>108</v>
      </c>
      <c r="D63" s="15" t="s">
        <v>147</v>
      </c>
      <c r="E63" s="47"/>
      <c r="F63" s="47"/>
      <c r="G63" s="47"/>
      <c r="H63" s="47"/>
      <c r="I63" s="47"/>
    </row>
    <row r="64" spans="1:9" x14ac:dyDescent="0.25">
      <c r="A64" s="50" t="s">
        <v>29</v>
      </c>
      <c r="B64" s="42" t="s">
        <v>63</v>
      </c>
      <c r="C64" s="47" t="s">
        <v>109</v>
      </c>
      <c r="D64" s="15" t="s">
        <v>148</v>
      </c>
      <c r="E64" s="47"/>
      <c r="F64" s="47"/>
      <c r="G64" s="47"/>
      <c r="H64" s="47"/>
      <c r="I64" s="47"/>
    </row>
    <row r="65" spans="1:9" x14ac:dyDescent="0.25">
      <c r="A65" s="50" t="s">
        <v>29</v>
      </c>
      <c r="B65" s="42" t="s">
        <v>63</v>
      </c>
      <c r="C65" s="47" t="s">
        <v>110</v>
      </c>
      <c r="D65" s="15" t="s">
        <v>150</v>
      </c>
      <c r="E65" s="47"/>
      <c r="F65" s="47"/>
      <c r="G65" s="47"/>
      <c r="H65" s="47"/>
      <c r="I65" s="47"/>
    </row>
    <row r="66" spans="1:9" x14ac:dyDescent="0.25">
      <c r="A66" s="50" t="s">
        <v>29</v>
      </c>
      <c r="B66" s="42" t="s">
        <v>63</v>
      </c>
      <c r="C66" s="47" t="s">
        <v>111</v>
      </c>
      <c r="D66" s="15" t="s">
        <v>149</v>
      </c>
      <c r="E66" s="47"/>
      <c r="F66" s="47"/>
      <c r="G66" s="47"/>
      <c r="H66" s="47"/>
      <c r="I66" s="47"/>
    </row>
    <row r="67" spans="1:9" x14ac:dyDescent="0.25">
      <c r="A67" s="50" t="s">
        <v>29</v>
      </c>
      <c r="B67" s="42" t="s">
        <v>63</v>
      </c>
      <c r="C67" s="47" t="s">
        <v>112</v>
      </c>
      <c r="D67" s="16" t="s">
        <v>488</v>
      </c>
      <c r="E67" s="47"/>
      <c r="F67" s="47"/>
      <c r="G67" s="47"/>
      <c r="H67" s="47"/>
      <c r="I67" s="47"/>
    </row>
    <row r="68" spans="1:9" x14ac:dyDescent="0.25">
      <c r="A68" s="50" t="s">
        <v>29</v>
      </c>
      <c r="B68" s="42" t="s">
        <v>63</v>
      </c>
      <c r="C68" s="47" t="s">
        <v>113</v>
      </c>
      <c r="D68" s="49">
        <v>1234567890</v>
      </c>
      <c r="E68" s="47"/>
      <c r="F68" s="47"/>
      <c r="G68" s="47"/>
      <c r="H68" s="47"/>
      <c r="I68" s="47"/>
    </row>
    <row r="69" spans="1:9" x14ac:dyDescent="0.25">
      <c r="A69" s="50" t="s">
        <v>29</v>
      </c>
      <c r="B69" s="42" t="s">
        <v>63</v>
      </c>
      <c r="C69" s="47" t="s">
        <v>114</v>
      </c>
      <c r="D69" s="15" t="s">
        <v>151</v>
      </c>
      <c r="E69" s="47"/>
      <c r="F69" s="47"/>
      <c r="G69" s="47"/>
      <c r="H69" s="47"/>
      <c r="I69" s="47"/>
    </row>
    <row r="70" spans="1:9" x14ac:dyDescent="0.25">
      <c r="A70" s="50" t="s">
        <v>29</v>
      </c>
      <c r="B70" s="42" t="s">
        <v>63</v>
      </c>
      <c r="C70" s="47" t="s">
        <v>115</v>
      </c>
      <c r="D70" s="15" t="s">
        <v>152</v>
      </c>
      <c r="E70" s="47"/>
      <c r="F70" s="47"/>
      <c r="G70" s="47"/>
      <c r="H70" s="47"/>
      <c r="I70" s="47"/>
    </row>
    <row r="71" spans="1:9" x14ac:dyDescent="0.25">
      <c r="A71" s="50" t="s">
        <v>29</v>
      </c>
      <c r="B71" s="42" t="s">
        <v>63</v>
      </c>
      <c r="C71" s="47" t="s">
        <v>116</v>
      </c>
      <c r="D71" s="15" t="s">
        <v>153</v>
      </c>
      <c r="E71" s="47"/>
      <c r="F71" s="47"/>
      <c r="G71" s="47"/>
      <c r="H71" s="47"/>
      <c r="I71" s="47"/>
    </row>
    <row r="72" spans="1:9" x14ac:dyDescent="0.25">
      <c r="A72" s="50" t="s">
        <v>29</v>
      </c>
      <c r="B72" s="42" t="s">
        <v>63</v>
      </c>
      <c r="C72" s="47" t="s">
        <v>117</v>
      </c>
      <c r="D72" s="15" t="s">
        <v>154</v>
      </c>
      <c r="E72" s="47"/>
      <c r="F72" s="47"/>
      <c r="G72" s="47"/>
      <c r="H72" s="47"/>
      <c r="I72" s="47"/>
    </row>
    <row r="73" spans="1:9" x14ac:dyDescent="0.25">
      <c r="A73" s="50" t="s">
        <v>29</v>
      </c>
      <c r="B73" s="42" t="s">
        <v>63</v>
      </c>
      <c r="C73" s="47" t="s">
        <v>118</v>
      </c>
      <c r="D73" s="15" t="s">
        <v>155</v>
      </c>
      <c r="E73" s="47"/>
      <c r="F73" s="47"/>
      <c r="G73" s="47"/>
      <c r="H73" s="47"/>
      <c r="I73" s="47"/>
    </row>
    <row r="74" spans="1:9" x14ac:dyDescent="0.25">
      <c r="A74" s="50" t="s">
        <v>29</v>
      </c>
      <c r="B74" s="42" t="s">
        <v>63</v>
      </c>
      <c r="C74" s="47" t="s">
        <v>119</v>
      </c>
      <c r="D74" s="15" t="s">
        <v>149</v>
      </c>
      <c r="E74" s="47"/>
      <c r="F74" s="47"/>
      <c r="G74" s="47"/>
      <c r="H74" s="47"/>
      <c r="I74" s="47"/>
    </row>
    <row r="75" spans="1:9" x14ac:dyDescent="0.25">
      <c r="A75" s="50" t="s">
        <v>29</v>
      </c>
      <c r="B75" s="42" t="s">
        <v>63</v>
      </c>
      <c r="C75" s="47" t="s">
        <v>120</v>
      </c>
      <c r="D75" s="16" t="s">
        <v>488</v>
      </c>
      <c r="E75" s="47"/>
      <c r="F75" s="47"/>
      <c r="G75" s="47"/>
      <c r="H75" s="47"/>
      <c r="I75" s="47"/>
    </row>
    <row r="76" spans="1:9" x14ac:dyDescent="0.25">
      <c r="A76" s="50" t="s">
        <v>29</v>
      </c>
      <c r="B76" s="42" t="s">
        <v>63</v>
      </c>
      <c r="C76" s="47" t="s">
        <v>121</v>
      </c>
      <c r="D76" s="49">
        <v>1234567890</v>
      </c>
      <c r="E76" s="47"/>
      <c r="F76" s="47"/>
      <c r="G76" s="47"/>
      <c r="H76" s="47"/>
      <c r="I76" s="47"/>
    </row>
    <row r="77" spans="1:9" x14ac:dyDescent="0.25">
      <c r="A77" s="50" t="s">
        <v>29</v>
      </c>
      <c r="B77" s="42" t="s">
        <v>63</v>
      </c>
      <c r="C77" s="47" t="s">
        <v>136</v>
      </c>
      <c r="D77" s="15" t="s">
        <v>156</v>
      </c>
      <c r="E77" s="47"/>
      <c r="F77" s="47"/>
      <c r="G77" s="47"/>
      <c r="H77" s="47"/>
      <c r="I77" s="47"/>
    </row>
    <row r="78" spans="1:9" x14ac:dyDescent="0.25">
      <c r="A78" s="50" t="s">
        <v>29</v>
      </c>
      <c r="B78" s="42" t="s">
        <v>63</v>
      </c>
      <c r="C78" s="47" t="s">
        <v>138</v>
      </c>
      <c r="D78" s="15" t="s">
        <v>157</v>
      </c>
      <c r="E78" s="47"/>
      <c r="F78" s="47"/>
      <c r="G78" s="47"/>
      <c r="H78" s="47"/>
      <c r="I78" s="47"/>
    </row>
    <row r="79" spans="1:9" x14ac:dyDescent="0.25">
      <c r="A79" s="50" t="s">
        <v>29</v>
      </c>
      <c r="B79" s="42" t="s">
        <v>63</v>
      </c>
      <c r="C79" s="47" t="s">
        <v>139</v>
      </c>
      <c r="D79" s="15" t="s">
        <v>158</v>
      </c>
      <c r="E79" s="47"/>
      <c r="F79" s="47"/>
      <c r="G79" s="47"/>
      <c r="H79" s="47"/>
      <c r="I79" s="47"/>
    </row>
    <row r="80" spans="1:9" x14ac:dyDescent="0.25">
      <c r="A80" s="50" t="s">
        <v>29</v>
      </c>
      <c r="B80" s="42" t="s">
        <v>63</v>
      </c>
      <c r="C80" s="47" t="s">
        <v>140</v>
      </c>
      <c r="D80" s="15" t="s">
        <v>159</v>
      </c>
      <c r="E80" s="47"/>
      <c r="F80" s="47"/>
      <c r="G80" s="47"/>
      <c r="H80" s="47"/>
      <c r="I80" s="47"/>
    </row>
    <row r="81" spans="1:9" x14ac:dyDescent="0.25">
      <c r="A81" s="50" t="s">
        <v>29</v>
      </c>
      <c r="B81" s="42" t="s">
        <v>63</v>
      </c>
      <c r="C81" s="47" t="s">
        <v>141</v>
      </c>
      <c r="D81" s="15" t="s">
        <v>160</v>
      </c>
      <c r="E81" s="47"/>
      <c r="F81" s="47"/>
      <c r="G81" s="47"/>
      <c r="H81" s="47"/>
      <c r="I81" s="47"/>
    </row>
    <row r="82" spans="1:9" x14ac:dyDescent="0.25">
      <c r="A82" s="50" t="s">
        <v>29</v>
      </c>
      <c r="B82" s="42" t="s">
        <v>63</v>
      </c>
      <c r="C82" s="47" t="s">
        <v>142</v>
      </c>
      <c r="D82" s="15" t="s">
        <v>149</v>
      </c>
      <c r="E82" s="47"/>
      <c r="F82" s="47"/>
      <c r="G82" s="47"/>
      <c r="H82" s="47"/>
      <c r="I82" s="47"/>
    </row>
    <row r="83" spans="1:9" x14ac:dyDescent="0.25">
      <c r="A83" s="50" t="s">
        <v>29</v>
      </c>
      <c r="B83" s="42" t="s">
        <v>63</v>
      </c>
      <c r="C83" s="47" t="s">
        <v>143</v>
      </c>
      <c r="D83" s="16" t="s">
        <v>488</v>
      </c>
      <c r="E83" s="47"/>
      <c r="F83" s="47"/>
      <c r="G83" s="47"/>
      <c r="H83" s="47"/>
      <c r="I83" s="47"/>
    </row>
    <row r="84" spans="1:9" x14ac:dyDescent="0.25">
      <c r="A84" s="50" t="s">
        <v>29</v>
      </c>
      <c r="B84" s="42" t="s">
        <v>63</v>
      </c>
      <c r="C84" s="47" t="s">
        <v>144</v>
      </c>
      <c r="D84" s="49">
        <v>1234567890</v>
      </c>
      <c r="E84" s="47"/>
      <c r="F84" s="47"/>
      <c r="G84" s="47"/>
      <c r="H84" s="47"/>
      <c r="I84" s="47"/>
    </row>
    <row r="85" spans="1:9" x14ac:dyDescent="0.25">
      <c r="A85" s="50" t="s">
        <v>29</v>
      </c>
      <c r="B85" s="42" t="s">
        <v>63</v>
      </c>
      <c r="C85" s="47" t="s">
        <v>122</v>
      </c>
      <c r="D85" s="15" t="s">
        <v>76</v>
      </c>
      <c r="E85" s="47"/>
      <c r="F85" s="47"/>
      <c r="G85" s="47"/>
      <c r="H85" s="47"/>
      <c r="I85" s="47"/>
    </row>
    <row r="86" spans="1:9" x14ac:dyDescent="0.25">
      <c r="A86" s="51" t="s">
        <v>29</v>
      </c>
      <c r="B86" s="42" t="s">
        <v>63</v>
      </c>
      <c r="C86" s="47" t="s">
        <v>123</v>
      </c>
      <c r="D86" s="15" t="s">
        <v>161</v>
      </c>
      <c r="E86" s="47"/>
      <c r="F86" s="47"/>
      <c r="G86" s="47"/>
      <c r="H86" s="47"/>
      <c r="I86" s="47"/>
    </row>
    <row r="87" spans="1:9" x14ac:dyDescent="0.25">
      <c r="A87" s="51" t="s">
        <v>29</v>
      </c>
      <c r="B87" s="42" t="s">
        <v>63</v>
      </c>
      <c r="C87" s="47" t="s">
        <v>124</v>
      </c>
      <c r="D87" s="49">
        <v>2012</v>
      </c>
      <c r="E87" s="47"/>
      <c r="F87" s="47"/>
      <c r="G87" s="47"/>
      <c r="H87" s="47"/>
      <c r="I87" s="47"/>
    </row>
    <row r="88" spans="1:9" x14ac:dyDescent="0.25">
      <c r="A88" s="50" t="s">
        <v>29</v>
      </c>
      <c r="B88" s="42" t="s">
        <v>63</v>
      </c>
      <c r="C88" s="47" t="s">
        <v>125</v>
      </c>
      <c r="D88" s="28" t="s">
        <v>162</v>
      </c>
      <c r="E88" s="47"/>
      <c r="F88" s="47"/>
      <c r="G88" s="47"/>
      <c r="H88" s="47"/>
      <c r="I88" s="47"/>
    </row>
    <row r="89" spans="1:9" x14ac:dyDescent="0.25">
      <c r="A89" s="51" t="s">
        <v>29</v>
      </c>
      <c r="B89" s="42" t="s">
        <v>63</v>
      </c>
      <c r="C89" s="47" t="s">
        <v>126</v>
      </c>
      <c r="D89" s="28" t="s">
        <v>162</v>
      </c>
      <c r="E89" s="47"/>
      <c r="F89" s="47"/>
      <c r="G89" s="47"/>
      <c r="H89" s="47"/>
      <c r="I89" s="47"/>
    </row>
    <row r="90" spans="1:9" x14ac:dyDescent="0.25">
      <c r="A90" s="50" t="s">
        <v>29</v>
      </c>
      <c r="B90" s="42" t="s">
        <v>63</v>
      </c>
      <c r="C90" s="47" t="s">
        <v>127</v>
      </c>
      <c r="D90" s="15" t="s">
        <v>76</v>
      </c>
      <c r="E90" s="47"/>
      <c r="F90" s="47"/>
      <c r="G90" s="47"/>
      <c r="H90" s="47"/>
      <c r="I90" s="47"/>
    </row>
    <row r="91" spans="1:9" x14ac:dyDescent="0.25">
      <c r="A91" s="51" t="s">
        <v>29</v>
      </c>
      <c r="B91" s="42" t="s">
        <v>63</v>
      </c>
      <c r="C91" s="47" t="s">
        <v>137</v>
      </c>
      <c r="D91" s="15" t="s">
        <v>167</v>
      </c>
      <c r="E91" s="47"/>
      <c r="F91" s="47"/>
      <c r="G91" s="47"/>
      <c r="H91" s="47"/>
      <c r="I91" s="47"/>
    </row>
    <row r="92" spans="1:9" x14ac:dyDescent="0.25">
      <c r="A92" s="50" t="s">
        <v>29</v>
      </c>
      <c r="B92" s="42" t="s">
        <v>63</v>
      </c>
      <c r="C92" s="47" t="s">
        <v>128</v>
      </c>
      <c r="D92" s="49">
        <v>3</v>
      </c>
      <c r="E92" s="47"/>
      <c r="F92" s="47"/>
      <c r="G92" s="47"/>
      <c r="H92" s="47"/>
      <c r="I92" s="47"/>
    </row>
    <row r="93" spans="1:9" x14ac:dyDescent="0.25">
      <c r="A93" s="50" t="s">
        <v>29</v>
      </c>
      <c r="B93" s="42" t="s">
        <v>63</v>
      </c>
      <c r="C93" s="47" t="s">
        <v>129</v>
      </c>
      <c r="D93" s="49">
        <v>3</v>
      </c>
      <c r="E93" s="47"/>
      <c r="F93" s="47"/>
      <c r="G93" s="47"/>
      <c r="H93" s="47"/>
      <c r="I93" s="47"/>
    </row>
    <row r="94" spans="1:9" x14ac:dyDescent="0.25">
      <c r="A94" s="50" t="s">
        <v>29</v>
      </c>
      <c r="B94" s="42" t="s">
        <v>63</v>
      </c>
      <c r="C94" s="47" t="s">
        <v>130</v>
      </c>
      <c r="D94" s="15" t="s">
        <v>163</v>
      </c>
      <c r="E94" s="47"/>
      <c r="F94" s="47"/>
      <c r="G94" s="47"/>
      <c r="H94" s="47"/>
      <c r="I94" s="47"/>
    </row>
    <row r="95" spans="1:9" x14ac:dyDescent="0.25">
      <c r="A95" s="50" t="s">
        <v>29</v>
      </c>
      <c r="B95" s="42" t="s">
        <v>63</v>
      </c>
      <c r="C95" s="47" t="s">
        <v>131</v>
      </c>
      <c r="D95" s="49">
        <v>125690</v>
      </c>
      <c r="E95" s="47"/>
      <c r="F95" s="47"/>
      <c r="G95" s="47"/>
      <c r="H95" s="47"/>
      <c r="I95" s="47"/>
    </row>
    <row r="96" spans="1:9" x14ac:dyDescent="0.25">
      <c r="A96" s="50" t="s">
        <v>29</v>
      </c>
      <c r="B96" s="42" t="s">
        <v>63</v>
      </c>
      <c r="C96" s="1" t="s">
        <v>132</v>
      </c>
      <c r="D96" s="49">
        <v>1234</v>
      </c>
      <c r="E96" s="47"/>
      <c r="F96" s="47"/>
      <c r="G96" s="47"/>
      <c r="H96" s="47"/>
      <c r="I96" s="47"/>
    </row>
    <row r="97" spans="1:9" x14ac:dyDescent="0.25">
      <c r="A97" s="50" t="s">
        <v>29</v>
      </c>
      <c r="B97" s="42" t="s">
        <v>63</v>
      </c>
      <c r="C97" s="47" t="s">
        <v>133</v>
      </c>
      <c r="D97" s="49">
        <v>5647</v>
      </c>
      <c r="E97" s="47"/>
      <c r="F97" s="47"/>
      <c r="G97" s="47"/>
      <c r="H97" s="47"/>
      <c r="I97" s="47"/>
    </row>
    <row r="98" spans="1:9" x14ac:dyDescent="0.25">
      <c r="A98" s="50" t="s">
        <v>29</v>
      </c>
      <c r="B98" s="42" t="s">
        <v>63</v>
      </c>
      <c r="C98" s="47" t="s">
        <v>134</v>
      </c>
      <c r="D98" s="49">
        <v>1098</v>
      </c>
      <c r="E98" s="47"/>
      <c r="F98" s="47"/>
      <c r="G98" s="47"/>
      <c r="H98" s="47"/>
      <c r="I98" s="47"/>
    </row>
    <row r="99" spans="1:9" x14ac:dyDescent="0.25">
      <c r="A99" s="50" t="s">
        <v>29</v>
      </c>
      <c r="B99" s="42" t="s">
        <v>63</v>
      </c>
      <c r="C99" s="47" t="s">
        <v>135</v>
      </c>
      <c r="D99" s="49" t="s">
        <v>164</v>
      </c>
      <c r="E99" s="47"/>
      <c r="F99" s="47"/>
      <c r="G99" s="47"/>
      <c r="H99" s="47"/>
      <c r="I99" s="47"/>
    </row>
    <row r="100" spans="1:9" x14ac:dyDescent="0.25">
      <c r="A100" s="50" t="s">
        <v>29</v>
      </c>
      <c r="B100" s="42" t="s">
        <v>63</v>
      </c>
      <c r="C100" s="47" t="s">
        <v>216</v>
      </c>
      <c r="D100" s="49" t="s">
        <v>236</v>
      </c>
      <c r="E100" s="47"/>
      <c r="F100" s="47"/>
      <c r="G100" s="47"/>
      <c r="H100" s="47"/>
      <c r="I100" s="47"/>
    </row>
    <row r="101" spans="1:9" x14ac:dyDescent="0.25">
      <c r="A101" s="50" t="s">
        <v>29</v>
      </c>
      <c r="B101" s="42" t="s">
        <v>63</v>
      </c>
      <c r="C101" s="47" t="s">
        <v>217</v>
      </c>
      <c r="D101" s="49" t="s">
        <v>237</v>
      </c>
      <c r="E101" s="47"/>
      <c r="F101" s="47"/>
      <c r="G101" s="47"/>
      <c r="H101" s="47"/>
      <c r="I101" s="47"/>
    </row>
    <row r="102" spans="1:9" x14ac:dyDescent="0.25">
      <c r="A102" s="50" t="s">
        <v>29</v>
      </c>
      <c r="B102" s="42" t="s">
        <v>63</v>
      </c>
      <c r="C102" s="47" t="s">
        <v>218</v>
      </c>
      <c r="D102" s="49" t="s">
        <v>74</v>
      </c>
      <c r="E102" s="47"/>
      <c r="F102" s="47"/>
      <c r="G102" s="47"/>
      <c r="H102" s="47"/>
      <c r="I102" s="47"/>
    </row>
    <row r="103" spans="1:9" x14ac:dyDescent="0.25">
      <c r="A103" s="50" t="s">
        <v>29</v>
      </c>
      <c r="B103" s="42" t="s">
        <v>63</v>
      </c>
      <c r="C103" s="47" t="s">
        <v>219</v>
      </c>
      <c r="D103" s="16" t="s">
        <v>446</v>
      </c>
      <c r="E103" s="47"/>
      <c r="F103" s="47"/>
      <c r="G103" s="47"/>
      <c r="H103" s="47"/>
      <c r="I103" s="47"/>
    </row>
    <row r="104" spans="1:9" x14ac:dyDescent="0.25">
      <c r="A104" s="44" t="s">
        <v>29</v>
      </c>
      <c r="B104" s="44" t="s">
        <v>63</v>
      </c>
      <c r="C104" s="47" t="s">
        <v>15</v>
      </c>
      <c r="D104" s="15" t="s">
        <v>556</v>
      </c>
      <c r="E104" s="15" t="s">
        <v>612</v>
      </c>
      <c r="F104" s="47" t="s">
        <v>570</v>
      </c>
      <c r="G104" s="47" t="s">
        <v>536</v>
      </c>
      <c r="H104" s="15" t="s">
        <v>556</v>
      </c>
      <c r="I104" s="47" t="s">
        <v>570</v>
      </c>
    </row>
    <row r="105" spans="1:9" x14ac:dyDescent="0.25">
      <c r="A105" s="44" t="s">
        <v>29</v>
      </c>
      <c r="B105" s="44" t="s">
        <v>63</v>
      </c>
      <c r="C105" s="47" t="s">
        <v>16</v>
      </c>
      <c r="D105" s="15" t="s">
        <v>556</v>
      </c>
      <c r="E105" s="47" t="s">
        <v>570</v>
      </c>
      <c r="F105" s="47" t="s">
        <v>65</v>
      </c>
      <c r="G105" s="47" t="s">
        <v>570</v>
      </c>
      <c r="H105" s="47" t="s">
        <v>611</v>
      </c>
      <c r="I105" s="47" t="s">
        <v>570</v>
      </c>
    </row>
    <row r="106" spans="1:9" x14ac:dyDescent="0.25">
      <c r="A106" s="50" t="s">
        <v>29</v>
      </c>
      <c r="B106" s="42" t="s">
        <v>63</v>
      </c>
      <c r="C106" s="47" t="s">
        <v>534</v>
      </c>
      <c r="D106" s="16" t="s">
        <v>69</v>
      </c>
      <c r="E106" s="47"/>
      <c r="F106" s="47"/>
      <c r="G106" s="47"/>
      <c r="H106" s="47"/>
      <c r="I106" s="47"/>
    </row>
    <row r="107" spans="1:9" x14ac:dyDescent="0.25">
      <c r="A107" s="44" t="s">
        <v>60</v>
      </c>
      <c r="B107" s="42" t="s">
        <v>63</v>
      </c>
      <c r="C107" s="47" t="s">
        <v>2</v>
      </c>
      <c r="D107" s="15" t="s">
        <v>60</v>
      </c>
      <c r="E107" s="47"/>
      <c r="F107" s="47"/>
      <c r="G107" s="47"/>
      <c r="H107" s="47"/>
      <c r="I107" s="47"/>
    </row>
    <row r="108" spans="1:9" x14ac:dyDescent="0.25">
      <c r="A108" s="44" t="s">
        <v>60</v>
      </c>
      <c r="B108" s="42" t="s">
        <v>63</v>
      </c>
      <c r="C108" s="45" t="s">
        <v>3</v>
      </c>
      <c r="D108" s="19" t="str">
        <f>D3</f>
        <v>STORE_SHAN_</v>
      </c>
      <c r="E108" s="47"/>
      <c r="F108" s="47"/>
      <c r="G108" s="47"/>
      <c r="H108" s="47"/>
      <c r="I108" s="47"/>
    </row>
    <row r="109" spans="1:9" x14ac:dyDescent="0.25">
      <c r="A109" s="44" t="s">
        <v>60</v>
      </c>
      <c r="B109" s="42" t="s">
        <v>63</v>
      </c>
      <c r="C109" s="48" t="s">
        <v>5</v>
      </c>
      <c r="D109" s="19" t="str">
        <f>D5</f>
        <v>INGENIXCAS</v>
      </c>
      <c r="E109" s="47"/>
      <c r="F109" s="47"/>
      <c r="G109" s="47"/>
      <c r="H109" s="47"/>
      <c r="I109" s="47"/>
    </row>
    <row r="110" spans="1:9" x14ac:dyDescent="0.25">
      <c r="A110" s="44" t="s">
        <v>60</v>
      </c>
      <c r="B110" s="42" t="s">
        <v>63</v>
      </c>
      <c r="C110" s="47" t="s">
        <v>59</v>
      </c>
      <c r="D110" s="16" t="s">
        <v>296</v>
      </c>
      <c r="E110" s="47"/>
      <c r="F110" s="47"/>
      <c r="G110" s="47"/>
      <c r="H110" s="47"/>
      <c r="I110" s="47"/>
    </row>
    <row r="112" spans="1:9" x14ac:dyDescent="0.25">
      <c r="D112" s="47" t="s">
        <v>570</v>
      </c>
    </row>
    <row r="113" spans="4:4" x14ac:dyDescent="0.25">
      <c r="D113" s="47" t="s">
        <v>620</v>
      </c>
    </row>
  </sheetData>
  <sheetProtection selectLockedCells="1"/>
  <dataConsolidate/>
  <dataValidations count="15">
    <dataValidation type="list" allowBlank="1" showInputMessage="1" showErrorMessage="1" sqref="D4">
      <formula1>"INGENIX"</formula1>
    </dataValidation>
    <dataValidation type="list" allowBlank="1" showInputMessage="1" showErrorMessage="1" sqref="D5">
      <formula1>"AIM, INGENIXCAS"</formula1>
    </dataValidation>
    <dataValidation type="list" allowBlank="1" showInputMessage="1" showErrorMessage="1" sqref="D9">
      <formula1>"STD, ENH, PAF, HQPAF ,PAF_HQ, COI, CAPE, STORE, HCR, HQCAPE, MAPCPI, PAFSUPP"</formula1>
    </dataValidation>
    <dataValidation type="list" allowBlank="1" showInputMessage="1" showErrorMessage="1" sqref="D10">
      <formula1>"HOSP, PROF/MED, SNF, HOSP/PROF"</formula1>
    </dataValidation>
    <dataValidation type="list" allowBlank="1" showInputMessage="1" showErrorMessage="1" sqref="D15">
      <formula1>"ALLMEMBERS, TARGETED, SUSPECT, NOMEMBERS, CMSSWEEP"</formula1>
    </dataValidation>
    <dataValidation type="list" allowBlank="1" showInputMessage="1" showErrorMessage="1" sqref="D27:I27">
      <formula1>"AMC, HNET, SH, AETNA, TUFTS, ELDERPLAN, WINDSOR, ARCADIAN, MTC, UOV,BRVO"</formula1>
    </dataValidation>
    <dataValidation type="list" allowBlank="1" showInputMessage="1" showErrorMessage="1" sqref="D28:I28">
      <formula1>"AMC,UNISON,HNET,SHE,EVCC,EVCI,UHCRV,OXFORD,PFFS,SHW,SIERRA,TUF,ELP,GOLD,SILVER,PLATINUM,EMERALD,DIAMOND,FUSION,COMP,DIABETES,OTHER,AR01,AR02,AR03,AR04,AR05,AR06,AR07,AR08,AR09,AR10,AR11,MEDIGOLD,MEDADV,BRVO,EVCT,AETNA"</formula1>
    </dataValidation>
    <dataValidation type="list" allowBlank="1" showInputMessage="1" showErrorMessage="1" sqref="D31:I31">
      <formula1>"EVCT,UCR,AMCH,UNI,HNET,SHEA,EVCC,EVCI,UNRV,OXFD,SHWE,SRA,FFSW,TUF,ELP,GOLD,SILV,PLAT,EMER,DIAM,FUSI,COMP,DIAB,OTHE,GOLD,MA,AR01,AR02,AR03,AR04,AR05,AR06,AR07,AR08,AR09,AR10,AR11,ATNA,EVCT,BRVO"</formula1>
    </dataValidation>
    <dataValidation type="list" allowBlank="1" showInputMessage="1" showErrorMessage="1" sqref="D34">
      <formula1>"M, F, U, "</formula1>
    </dataValidation>
    <dataValidation type="list" allowBlank="1" showInputMessage="1" showErrorMessage="1" sqref="D41:E41">
      <formula1>"SNF, HOSP, HOSP/PROF"</formula1>
    </dataValidation>
    <dataValidation type="list" allowBlank="1" showInputMessage="1" showErrorMessage="1" sqref="D52">
      <formula1>"Y,N, "</formula1>
    </dataValidation>
    <dataValidation type="list" allowBlank="1" showInputMessage="1" showErrorMessage="1" sqref="D54">
      <formula1>"TIN, DEC, NETWORKID, GROUPID"</formula1>
    </dataValidation>
    <dataValidation type="list" showErrorMessage="1" errorTitle="!!Field Selection Invalid!!" error="Only Fields to be selected are 'Have' &amp; 'Don't Have'" sqref="B2:B110">
      <formula1>"Have, Don't Have"</formula1>
    </dataValidation>
    <dataValidation type="list" allowBlank="1" showInputMessage="1" showErrorMessage="1" sqref="D85 D90">
      <formula1>"Y,N"</formula1>
    </dataValidation>
    <dataValidation type="list" allowBlank="1" showInputMessage="1" showErrorMessage="1" sqref="D92:D93">
      <formula1>"1,2,3"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3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5" sqref="C15"/>
    </sheetView>
  </sheetViews>
  <sheetFormatPr defaultRowHeight="15" x14ac:dyDescent="0.25"/>
  <cols>
    <col min="1" max="1" width="10.140625" customWidth="1"/>
    <col min="2" max="2" width="15.7109375" customWidth="1"/>
    <col min="3" max="3" width="23.7109375" customWidth="1"/>
    <col min="4" max="13" width="20.140625" customWidth="1"/>
  </cols>
  <sheetData>
    <row r="1" spans="1:13" x14ac:dyDescent="0.25">
      <c r="A1" s="8" t="s">
        <v>0</v>
      </c>
      <c r="B1" s="9" t="s">
        <v>62</v>
      </c>
      <c r="C1" s="8" t="s">
        <v>1</v>
      </c>
      <c r="D1" s="37" t="s">
        <v>274</v>
      </c>
      <c r="E1" s="8" t="s">
        <v>275</v>
      </c>
      <c r="F1" s="8" t="s">
        <v>276</v>
      </c>
      <c r="G1" s="8" t="s">
        <v>277</v>
      </c>
      <c r="H1" s="8" t="s">
        <v>278</v>
      </c>
      <c r="I1" s="8" t="s">
        <v>279</v>
      </c>
      <c r="J1" s="8" t="s">
        <v>280</v>
      </c>
      <c r="K1" s="8" t="s">
        <v>281</v>
      </c>
      <c r="L1" s="8" t="s">
        <v>282</v>
      </c>
      <c r="M1" s="8" t="s">
        <v>283</v>
      </c>
    </row>
    <row r="2" spans="1:13" x14ac:dyDescent="0.25">
      <c r="A2" s="4" t="s">
        <v>29</v>
      </c>
      <c r="B2" s="17" t="s">
        <v>63</v>
      </c>
      <c r="C2" s="2" t="s">
        <v>2</v>
      </c>
      <c r="D2" s="38" t="s">
        <v>29</v>
      </c>
      <c r="E2" s="11" t="s">
        <v>29</v>
      </c>
      <c r="F2" s="38" t="s">
        <v>29</v>
      </c>
      <c r="G2" s="11" t="s">
        <v>29</v>
      </c>
      <c r="H2" s="38" t="s">
        <v>29</v>
      </c>
      <c r="I2" s="11" t="s">
        <v>29</v>
      </c>
      <c r="J2" s="38" t="s">
        <v>29</v>
      </c>
      <c r="K2" s="11" t="s">
        <v>29</v>
      </c>
      <c r="L2" s="38" t="s">
        <v>29</v>
      </c>
      <c r="M2" s="11" t="s">
        <v>29</v>
      </c>
    </row>
    <row r="3" spans="1:13" s="68" customFormat="1" x14ac:dyDescent="0.25">
      <c r="A3" s="4" t="s">
        <v>29</v>
      </c>
      <c r="B3" s="17" t="s">
        <v>63</v>
      </c>
      <c r="C3" s="2" t="s">
        <v>252</v>
      </c>
      <c r="D3" s="67" t="s">
        <v>354</v>
      </c>
      <c r="E3" s="67" t="s">
        <v>354</v>
      </c>
      <c r="F3" s="67" t="s">
        <v>354</v>
      </c>
      <c r="G3" s="67" t="s">
        <v>354</v>
      </c>
      <c r="H3" s="67" t="s">
        <v>354</v>
      </c>
      <c r="I3" s="67" t="s">
        <v>354</v>
      </c>
      <c r="J3" s="67" t="s">
        <v>354</v>
      </c>
      <c r="K3" s="67" t="s">
        <v>354</v>
      </c>
      <c r="L3" s="67" t="s">
        <v>354</v>
      </c>
      <c r="M3" s="67" t="s">
        <v>354</v>
      </c>
    </row>
    <row r="4" spans="1:13" x14ac:dyDescent="0.25">
      <c r="A4" s="4" t="s">
        <v>29</v>
      </c>
      <c r="B4" s="17" t="s">
        <v>63</v>
      </c>
      <c r="C4" s="2" t="s">
        <v>253</v>
      </c>
      <c r="D4" s="38" t="s">
        <v>284</v>
      </c>
      <c r="E4" s="11" t="s">
        <v>285</v>
      </c>
      <c r="F4" s="38" t="s">
        <v>269</v>
      </c>
      <c r="G4" s="11" t="s">
        <v>286</v>
      </c>
      <c r="H4" s="38" t="s">
        <v>287</v>
      </c>
      <c r="I4" s="11" t="s">
        <v>288</v>
      </c>
      <c r="J4" s="38" t="s">
        <v>289</v>
      </c>
      <c r="K4" s="11" t="s">
        <v>290</v>
      </c>
      <c r="L4" s="38" t="s">
        <v>291</v>
      </c>
      <c r="M4" s="11" t="s">
        <v>292</v>
      </c>
    </row>
    <row r="5" spans="1:13" x14ac:dyDescent="0.25">
      <c r="A5" s="4" t="s">
        <v>29</v>
      </c>
      <c r="B5" s="17" t="s">
        <v>63</v>
      </c>
      <c r="C5" s="2" t="s">
        <v>254</v>
      </c>
      <c r="D5" s="36" t="s">
        <v>496</v>
      </c>
      <c r="E5" s="13" t="s">
        <v>501</v>
      </c>
      <c r="F5" s="36" t="s">
        <v>496</v>
      </c>
      <c r="G5" s="13" t="s">
        <v>496</v>
      </c>
      <c r="H5" s="36" t="s">
        <v>497</v>
      </c>
      <c r="I5" s="13" t="s">
        <v>502</v>
      </c>
      <c r="J5" s="36" t="s">
        <v>498</v>
      </c>
      <c r="K5" s="13" t="s">
        <v>500</v>
      </c>
      <c r="L5" s="36" t="s">
        <v>499</v>
      </c>
      <c r="M5" s="13" t="s">
        <v>503</v>
      </c>
    </row>
    <row r="6" spans="1:13" x14ac:dyDescent="0.25">
      <c r="A6" s="6" t="s">
        <v>29</v>
      </c>
      <c r="B6" s="17" t="s">
        <v>64</v>
      </c>
      <c r="C6" s="2" t="s">
        <v>255</v>
      </c>
      <c r="D6" s="38" t="s">
        <v>72</v>
      </c>
      <c r="E6" s="11" t="s">
        <v>72</v>
      </c>
      <c r="F6" s="38" t="s">
        <v>72</v>
      </c>
      <c r="G6" s="11" t="s">
        <v>72</v>
      </c>
      <c r="H6" s="38" t="s">
        <v>72</v>
      </c>
      <c r="I6" s="11" t="s">
        <v>72</v>
      </c>
      <c r="J6" s="38" t="s">
        <v>72</v>
      </c>
      <c r="K6" s="11" t="s">
        <v>72</v>
      </c>
      <c r="L6" s="38" t="s">
        <v>72</v>
      </c>
      <c r="M6" s="11" t="s">
        <v>72</v>
      </c>
    </row>
    <row r="7" spans="1:13" x14ac:dyDescent="0.25">
      <c r="A7" s="6" t="s">
        <v>29</v>
      </c>
      <c r="B7" s="17" t="s">
        <v>63</v>
      </c>
      <c r="C7" s="2" t="s">
        <v>256</v>
      </c>
      <c r="D7" s="38" t="s">
        <v>73</v>
      </c>
      <c r="E7" s="11" t="s">
        <v>73</v>
      </c>
      <c r="F7" s="38" t="s">
        <v>73</v>
      </c>
      <c r="G7" s="11" t="s">
        <v>73</v>
      </c>
      <c r="H7" s="38" t="s">
        <v>73</v>
      </c>
      <c r="I7" s="11" t="s">
        <v>73</v>
      </c>
      <c r="J7" s="38" t="s">
        <v>73</v>
      </c>
      <c r="K7" s="11" t="s">
        <v>73</v>
      </c>
      <c r="L7" s="38" t="s">
        <v>73</v>
      </c>
      <c r="M7" s="11" t="s">
        <v>73</v>
      </c>
    </row>
    <row r="8" spans="1:13" x14ac:dyDescent="0.25">
      <c r="A8" s="5" t="s">
        <v>29</v>
      </c>
      <c r="B8" s="17" t="s">
        <v>63</v>
      </c>
      <c r="C8" s="2" t="s">
        <v>257</v>
      </c>
      <c r="D8" s="38"/>
      <c r="E8" s="11" t="s">
        <v>270</v>
      </c>
      <c r="F8" s="38"/>
      <c r="G8" s="11"/>
      <c r="H8" s="38"/>
      <c r="I8" s="11"/>
      <c r="J8" s="38"/>
      <c r="K8" s="11"/>
      <c r="L8" s="38"/>
      <c r="M8" s="11"/>
    </row>
    <row r="9" spans="1:13" x14ac:dyDescent="0.25">
      <c r="A9" s="5" t="s">
        <v>29</v>
      </c>
      <c r="B9" s="17" t="s">
        <v>63</v>
      </c>
      <c r="C9" s="2" t="s">
        <v>258</v>
      </c>
      <c r="D9" s="38"/>
      <c r="E9" s="11"/>
      <c r="F9" s="38"/>
      <c r="G9" s="11"/>
      <c r="H9" s="38" t="s">
        <v>494</v>
      </c>
      <c r="I9" s="11" t="s">
        <v>493</v>
      </c>
      <c r="J9" s="38"/>
      <c r="K9" s="11"/>
      <c r="L9" s="38"/>
      <c r="M9" s="11"/>
    </row>
    <row r="10" spans="1:13" x14ac:dyDescent="0.25">
      <c r="A10" s="4" t="s">
        <v>29</v>
      </c>
      <c r="B10" s="17" t="s">
        <v>63</v>
      </c>
      <c r="C10" s="2" t="s">
        <v>259</v>
      </c>
      <c r="D10" s="38"/>
      <c r="E10" s="11"/>
      <c r="F10" s="38"/>
      <c r="G10" s="11"/>
      <c r="H10" s="38"/>
      <c r="I10" s="11" t="s">
        <v>271</v>
      </c>
      <c r="J10" s="38"/>
      <c r="K10" s="11"/>
      <c r="L10" s="38"/>
      <c r="M10" s="11"/>
    </row>
    <row r="11" spans="1:13" x14ac:dyDescent="0.25">
      <c r="A11" s="5" t="s">
        <v>29</v>
      </c>
      <c r="B11" s="17" t="s">
        <v>63</v>
      </c>
      <c r="C11" s="2" t="s">
        <v>260</v>
      </c>
      <c r="D11" s="36" t="s">
        <v>505</v>
      </c>
      <c r="E11" s="13" t="s">
        <v>506</v>
      </c>
      <c r="F11" s="38" t="s">
        <v>507</v>
      </c>
      <c r="G11" s="13" t="s">
        <v>508</v>
      </c>
      <c r="H11" s="38" t="s">
        <v>509</v>
      </c>
      <c r="I11" s="13" t="s">
        <v>510</v>
      </c>
      <c r="J11" s="38" t="s">
        <v>511</v>
      </c>
      <c r="K11" s="13" t="s">
        <v>512</v>
      </c>
      <c r="L11" s="38" t="s">
        <v>504</v>
      </c>
      <c r="M11" s="13" t="s">
        <v>513</v>
      </c>
    </row>
    <row r="12" spans="1:13" x14ac:dyDescent="0.25">
      <c r="A12" s="5" t="s">
        <v>29</v>
      </c>
      <c r="B12" s="17" t="s">
        <v>63</v>
      </c>
      <c r="C12" s="2" t="s">
        <v>261</v>
      </c>
      <c r="D12" s="36"/>
      <c r="E12" s="13"/>
      <c r="F12" s="38"/>
      <c r="G12" s="13"/>
      <c r="H12" s="38"/>
      <c r="I12" s="13"/>
      <c r="J12" s="38"/>
      <c r="K12" s="13" t="s">
        <v>514</v>
      </c>
      <c r="L12" s="38"/>
      <c r="M12" s="13"/>
    </row>
    <row r="13" spans="1:13" x14ac:dyDescent="0.25">
      <c r="A13" s="4" t="s">
        <v>29</v>
      </c>
      <c r="B13" s="17" t="s">
        <v>63</v>
      </c>
      <c r="C13" s="2" t="s">
        <v>262</v>
      </c>
      <c r="D13" s="36" t="s">
        <v>76</v>
      </c>
      <c r="E13" s="13" t="s">
        <v>272</v>
      </c>
      <c r="F13" s="38" t="s">
        <v>495</v>
      </c>
      <c r="G13" s="13" t="s">
        <v>272</v>
      </c>
      <c r="H13" s="38" t="s">
        <v>76</v>
      </c>
      <c r="I13" s="13" t="s">
        <v>272</v>
      </c>
      <c r="J13" s="38" t="s">
        <v>76</v>
      </c>
      <c r="K13" s="13" t="s">
        <v>495</v>
      </c>
      <c r="L13" s="38" t="s">
        <v>272</v>
      </c>
      <c r="M13" s="13" t="s">
        <v>76</v>
      </c>
    </row>
    <row r="14" spans="1:13" x14ac:dyDescent="0.25">
      <c r="A14" s="4" t="s">
        <v>29</v>
      </c>
      <c r="B14" s="17" t="s">
        <v>63</v>
      </c>
      <c r="C14" s="2" t="s">
        <v>263</v>
      </c>
      <c r="D14" s="36" t="s">
        <v>272</v>
      </c>
      <c r="E14" s="13" t="s">
        <v>76</v>
      </c>
      <c r="F14" s="38" t="s">
        <v>495</v>
      </c>
      <c r="G14" s="13" t="s">
        <v>76</v>
      </c>
      <c r="H14" s="38" t="s">
        <v>272</v>
      </c>
      <c r="I14" s="13" t="s">
        <v>272</v>
      </c>
      <c r="J14" s="38" t="s">
        <v>76</v>
      </c>
      <c r="K14" s="13" t="s">
        <v>272</v>
      </c>
      <c r="L14" s="38" t="s">
        <v>495</v>
      </c>
      <c r="M14" s="13" t="s">
        <v>76</v>
      </c>
    </row>
    <row r="15" spans="1:13" x14ac:dyDescent="0.25">
      <c r="A15" s="4" t="s">
        <v>29</v>
      </c>
      <c r="B15" s="17" t="s">
        <v>63</v>
      </c>
      <c r="C15" s="2" t="s">
        <v>264</v>
      </c>
      <c r="D15" s="38" t="s">
        <v>521</v>
      </c>
      <c r="E15" s="11" t="s">
        <v>522</v>
      </c>
      <c r="F15" s="38" t="s">
        <v>523</v>
      </c>
      <c r="G15" s="11" t="s">
        <v>524</v>
      </c>
      <c r="H15" s="38" t="s">
        <v>525</v>
      </c>
      <c r="I15" s="11" t="s">
        <v>526</v>
      </c>
      <c r="J15" s="38" t="s">
        <v>527</v>
      </c>
      <c r="K15" s="11" t="s">
        <v>528</v>
      </c>
      <c r="L15" s="38" t="s">
        <v>529</v>
      </c>
      <c r="M15" s="11" t="s">
        <v>530</v>
      </c>
    </row>
    <row r="16" spans="1:13" x14ac:dyDescent="0.25">
      <c r="A16" s="4" t="s">
        <v>29</v>
      </c>
      <c r="B16" s="17" t="s">
        <v>63</v>
      </c>
      <c r="C16" s="2" t="s">
        <v>122</v>
      </c>
      <c r="D16" s="36" t="s">
        <v>272</v>
      </c>
      <c r="E16" s="13" t="s">
        <v>76</v>
      </c>
      <c r="F16" s="38" t="s">
        <v>76</v>
      </c>
      <c r="G16" s="13" t="s">
        <v>272</v>
      </c>
      <c r="H16" s="38" t="s">
        <v>495</v>
      </c>
      <c r="I16" s="13" t="s">
        <v>76</v>
      </c>
      <c r="J16" s="38" t="s">
        <v>272</v>
      </c>
      <c r="K16" s="13" t="s">
        <v>272</v>
      </c>
      <c r="L16" s="38" t="s">
        <v>495</v>
      </c>
      <c r="M16" s="13" t="s">
        <v>76</v>
      </c>
    </row>
    <row r="17" spans="1:13" x14ac:dyDescent="0.25">
      <c r="A17" s="5" t="s">
        <v>29</v>
      </c>
      <c r="B17" s="17" t="s">
        <v>63</v>
      </c>
      <c r="C17" s="2" t="s">
        <v>123</v>
      </c>
      <c r="D17" s="36"/>
      <c r="E17" s="13" t="s">
        <v>531</v>
      </c>
      <c r="F17" s="38" t="s">
        <v>532</v>
      </c>
      <c r="G17" s="13"/>
      <c r="H17" s="38"/>
      <c r="I17" s="13" t="s">
        <v>531</v>
      </c>
      <c r="J17" s="38"/>
      <c r="K17" s="13"/>
      <c r="L17" s="38"/>
      <c r="M17" s="13" t="s">
        <v>597</v>
      </c>
    </row>
    <row r="18" spans="1:13" x14ac:dyDescent="0.25">
      <c r="A18" s="4" t="s">
        <v>29</v>
      </c>
      <c r="B18" s="17" t="s">
        <v>63</v>
      </c>
      <c r="C18" s="2" t="s">
        <v>265</v>
      </c>
      <c r="D18" s="39">
        <v>5</v>
      </c>
      <c r="E18" s="12">
        <v>9</v>
      </c>
      <c r="F18" s="39">
        <v>7</v>
      </c>
      <c r="G18" s="12">
        <v>4</v>
      </c>
      <c r="H18" s="39">
        <v>2</v>
      </c>
      <c r="I18" s="12">
        <v>8</v>
      </c>
      <c r="J18" s="39">
        <v>1</v>
      </c>
      <c r="K18" s="12">
        <v>5</v>
      </c>
      <c r="L18" s="39">
        <v>3</v>
      </c>
      <c r="M18" s="12">
        <v>6</v>
      </c>
    </row>
    <row r="19" spans="1:13" x14ac:dyDescent="0.25">
      <c r="A19" s="4" t="s">
        <v>29</v>
      </c>
      <c r="B19" s="17" t="s">
        <v>63</v>
      </c>
      <c r="C19" s="2" t="s">
        <v>266</v>
      </c>
      <c r="D19" s="36" t="s">
        <v>76</v>
      </c>
      <c r="E19" s="13" t="s">
        <v>272</v>
      </c>
      <c r="F19" s="38" t="s">
        <v>495</v>
      </c>
      <c r="G19" s="13" t="s">
        <v>272</v>
      </c>
      <c r="H19" s="38" t="s">
        <v>76</v>
      </c>
      <c r="I19" s="13" t="s">
        <v>76</v>
      </c>
      <c r="J19" s="38" t="s">
        <v>495</v>
      </c>
      <c r="K19" s="13" t="s">
        <v>76</v>
      </c>
      <c r="L19" s="38" t="s">
        <v>76</v>
      </c>
      <c r="M19" s="13" t="s">
        <v>272</v>
      </c>
    </row>
    <row r="20" spans="1:13" x14ac:dyDescent="0.25">
      <c r="A20" s="4" t="s">
        <v>29</v>
      </c>
      <c r="B20" s="17" t="s">
        <v>63</v>
      </c>
      <c r="C20" s="2" t="s">
        <v>267</v>
      </c>
      <c r="D20" s="36" t="s">
        <v>272</v>
      </c>
      <c r="E20" s="13" t="s">
        <v>76</v>
      </c>
      <c r="F20" s="38" t="s">
        <v>76</v>
      </c>
      <c r="G20" s="13" t="s">
        <v>495</v>
      </c>
      <c r="H20" s="38" t="s">
        <v>272</v>
      </c>
      <c r="I20" s="13" t="s">
        <v>76</v>
      </c>
      <c r="J20" s="38" t="s">
        <v>76</v>
      </c>
      <c r="K20" s="13" t="s">
        <v>76</v>
      </c>
      <c r="L20" s="38" t="s">
        <v>76</v>
      </c>
      <c r="M20" s="13" t="s">
        <v>76</v>
      </c>
    </row>
    <row r="21" spans="1:13" x14ac:dyDescent="0.25">
      <c r="A21" s="5" t="s">
        <v>29</v>
      </c>
      <c r="B21" s="17" t="s">
        <v>64</v>
      </c>
      <c r="C21" s="2" t="s">
        <v>268</v>
      </c>
      <c r="D21" s="36"/>
      <c r="E21" s="13" t="s">
        <v>273</v>
      </c>
      <c r="F21" s="36" t="s">
        <v>515</v>
      </c>
      <c r="G21" s="13"/>
      <c r="H21" s="36"/>
      <c r="I21" s="13" t="s">
        <v>516</v>
      </c>
      <c r="J21" s="36" t="s">
        <v>517</v>
      </c>
      <c r="K21" s="13" t="s">
        <v>518</v>
      </c>
      <c r="L21" s="36" t="s">
        <v>519</v>
      </c>
      <c r="M21" s="13" t="s">
        <v>520</v>
      </c>
    </row>
    <row r="22" spans="1:13" x14ac:dyDescent="0.25">
      <c r="A22" s="4" t="s">
        <v>60</v>
      </c>
      <c r="B22" s="17" t="s">
        <v>63</v>
      </c>
      <c r="C22" s="2" t="s">
        <v>2</v>
      </c>
      <c r="D22" s="38" t="s">
        <v>60</v>
      </c>
      <c r="E22" s="11" t="s">
        <v>60</v>
      </c>
      <c r="F22" s="38" t="s">
        <v>60</v>
      </c>
      <c r="G22" s="11" t="s">
        <v>60</v>
      </c>
      <c r="H22" s="38" t="s">
        <v>60</v>
      </c>
      <c r="I22" s="11" t="s">
        <v>60</v>
      </c>
      <c r="J22" s="38" t="s">
        <v>60</v>
      </c>
      <c r="K22" s="11" t="s">
        <v>60</v>
      </c>
      <c r="L22" s="38" t="s">
        <v>60</v>
      </c>
      <c r="M22" s="11" t="s">
        <v>60</v>
      </c>
    </row>
    <row r="23" spans="1:13" x14ac:dyDescent="0.25">
      <c r="A23" s="4" t="s">
        <v>60</v>
      </c>
      <c r="B23" s="17" t="s">
        <v>63</v>
      </c>
      <c r="C23" s="2" t="s">
        <v>59</v>
      </c>
      <c r="D23" s="36" t="s">
        <v>84</v>
      </c>
      <c r="E23" s="13" t="s">
        <v>84</v>
      </c>
      <c r="F23" s="38" t="s">
        <v>84</v>
      </c>
      <c r="G23" s="13" t="s">
        <v>84</v>
      </c>
      <c r="H23" s="38" t="s">
        <v>84</v>
      </c>
      <c r="I23" s="13" t="s">
        <v>84</v>
      </c>
      <c r="J23" s="38" t="s">
        <v>84</v>
      </c>
      <c r="K23" s="13" t="s">
        <v>84</v>
      </c>
      <c r="L23" s="38" t="s">
        <v>84</v>
      </c>
      <c r="M23" s="13" t="s">
        <v>84</v>
      </c>
    </row>
  </sheetData>
  <dataValidations count="7">
    <dataValidation type="list" allowBlank="1" showInputMessage="1" showErrorMessage="1" sqref="D9:M9">
      <formula1>"D04, D05, D06, D13"</formula1>
    </dataValidation>
    <dataValidation type="list" allowBlank="1" showInputMessage="1" showErrorMessage="1" sqref="D8:M8">
      <formula1>"PNP1, PNP2, PNP3, PNP4, PNP5, PNP6, PNP7, PNP8, PNP9, PNP10, PNP11, PNP12, PNP13, PNP14, PNP15, PNP16"</formula1>
    </dataValidation>
    <dataValidation type="list" showErrorMessage="1" errorTitle="!!Field Selection Invalid!!" error="Only Fields to be selected are 'Have' &amp; 'Don't Have'" sqref="B2:B23">
      <formula1>"Have, Don't Have"</formula1>
    </dataValidation>
    <dataValidation type="list" allowBlank="1" showInputMessage="1" showErrorMessage="1" sqref="D4:M4">
      <formula1>"CNA, PNP, RETVD, SENT, INTAKEREJ, CODINGREJ, PNPRELEASE, CANCELED, RELEASED, SCHEDULED"</formula1>
    </dataValidation>
    <dataValidation type="list" allowBlank="1" showInputMessage="1" showErrorMessage="1" sqref="D10:M10">
      <formula1>"IMGNX"</formula1>
    </dataValidation>
    <dataValidation type="list" allowBlank="1" showInputMessage="1" showErrorMessage="1" sqref="D13:M14 D16:M16 D19:M20">
      <formula1>"Y, N, U"</formula1>
    </dataValidation>
    <dataValidation type="list" allowBlank="1" showInputMessage="1" showErrorMessage="1" sqref="D18:M18">
      <formula1>"1, 2, 3, 4, 5, 6, 7, 8, 9, U"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55"/>
  <sheetViews>
    <sheetView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F15" sqref="F15"/>
    </sheetView>
  </sheetViews>
  <sheetFormatPr defaultRowHeight="15" x14ac:dyDescent="0.25"/>
  <cols>
    <col min="1" max="1" width="15.7109375" customWidth="1"/>
    <col min="2" max="3" width="32.7109375" customWidth="1"/>
    <col min="4" max="11" width="12.140625" bestFit="1" customWidth="1"/>
    <col min="12" max="12" width="13.28515625" bestFit="1" customWidth="1"/>
    <col min="13" max="17" width="13.42578125" customWidth="1"/>
  </cols>
  <sheetData>
    <row r="1" spans="1:17" s="68" customFormat="1" x14ac:dyDescent="0.25">
      <c r="A1" s="9" t="s">
        <v>62</v>
      </c>
      <c r="B1" s="8" t="s">
        <v>1</v>
      </c>
      <c r="C1" s="8" t="s">
        <v>61</v>
      </c>
      <c r="D1" s="8" t="s">
        <v>372</v>
      </c>
      <c r="E1" s="8" t="s">
        <v>373</v>
      </c>
      <c r="F1" s="8" t="s">
        <v>374</v>
      </c>
      <c r="G1" s="8" t="s">
        <v>375</v>
      </c>
      <c r="H1" s="8" t="s">
        <v>376</v>
      </c>
      <c r="I1" s="8" t="s">
        <v>377</v>
      </c>
      <c r="J1" s="8" t="s">
        <v>378</v>
      </c>
      <c r="K1" s="8" t="s">
        <v>381</v>
      </c>
      <c r="L1" s="8" t="s">
        <v>382</v>
      </c>
      <c r="M1" s="8" t="s">
        <v>440</v>
      </c>
      <c r="N1" s="8" t="s">
        <v>441</v>
      </c>
      <c r="O1" s="8" t="s">
        <v>442</v>
      </c>
      <c r="P1" s="8" t="s">
        <v>443</v>
      </c>
      <c r="Q1" s="8" t="s">
        <v>444</v>
      </c>
    </row>
    <row r="2" spans="1:17" x14ac:dyDescent="0.25">
      <c r="A2" s="4" t="s">
        <v>63</v>
      </c>
      <c r="B2" s="60" t="s">
        <v>307</v>
      </c>
      <c r="C2" s="15" t="s">
        <v>338</v>
      </c>
    </row>
    <row r="3" spans="1:17" x14ac:dyDescent="0.25">
      <c r="A3" s="6" t="s">
        <v>63</v>
      </c>
      <c r="B3" s="60" t="s">
        <v>20</v>
      </c>
      <c r="C3" s="13" t="s">
        <v>346</v>
      </c>
    </row>
    <row r="4" spans="1:17" x14ac:dyDescent="0.25">
      <c r="A4" s="6" t="s">
        <v>63</v>
      </c>
      <c r="B4" s="60" t="s">
        <v>308</v>
      </c>
      <c r="C4" s="13" t="s">
        <v>347</v>
      </c>
    </row>
    <row r="5" spans="1:17" x14ac:dyDescent="0.25">
      <c r="A5" s="4" t="s">
        <v>63</v>
      </c>
      <c r="B5" s="60" t="s">
        <v>309</v>
      </c>
      <c r="C5" s="13" t="s">
        <v>385</v>
      </c>
    </row>
    <row r="6" spans="1:17" x14ac:dyDescent="0.25">
      <c r="A6" s="4" t="s">
        <v>63</v>
      </c>
      <c r="B6" s="60" t="s">
        <v>168</v>
      </c>
      <c r="C6" s="67" t="s">
        <v>354</v>
      </c>
    </row>
    <row r="7" spans="1:17" x14ac:dyDescent="0.25">
      <c r="A7" s="4" t="s">
        <v>63</v>
      </c>
      <c r="B7" s="60" t="s">
        <v>3</v>
      </c>
      <c r="C7" s="13" t="s">
        <v>3</v>
      </c>
    </row>
    <row r="8" spans="1:17" x14ac:dyDescent="0.25">
      <c r="A8" s="4" t="s">
        <v>63</v>
      </c>
      <c r="B8" s="55" t="s">
        <v>307</v>
      </c>
      <c r="C8" s="15" t="s">
        <v>339</v>
      </c>
    </row>
    <row r="9" spans="1:17" x14ac:dyDescent="0.25">
      <c r="A9" s="4" t="s">
        <v>63</v>
      </c>
      <c r="B9" s="55" t="s">
        <v>252</v>
      </c>
      <c r="C9" s="67" t="s">
        <v>354</v>
      </c>
    </row>
    <row r="10" spans="1:17" x14ac:dyDescent="0.25">
      <c r="A10" s="4" t="s">
        <v>63</v>
      </c>
      <c r="B10" s="55" t="s">
        <v>168</v>
      </c>
      <c r="C10" s="67" t="s">
        <v>354</v>
      </c>
    </row>
    <row r="11" spans="1:17" x14ac:dyDescent="0.25">
      <c r="A11" s="6" t="s">
        <v>63</v>
      </c>
      <c r="B11" s="55" t="s">
        <v>259</v>
      </c>
      <c r="C11" s="13"/>
    </row>
    <row r="12" spans="1:17" x14ac:dyDescent="0.25">
      <c r="A12" s="4" t="s">
        <v>63</v>
      </c>
      <c r="B12" s="58" t="s">
        <v>307</v>
      </c>
      <c r="C12" s="15" t="s">
        <v>340</v>
      </c>
      <c r="D12" s="15" t="s">
        <v>340</v>
      </c>
      <c r="E12" s="15" t="s">
        <v>340</v>
      </c>
      <c r="F12" s="15" t="s">
        <v>340</v>
      </c>
      <c r="G12" s="15" t="s">
        <v>340</v>
      </c>
      <c r="H12" s="15" t="s">
        <v>340</v>
      </c>
      <c r="I12" s="15" t="s">
        <v>340</v>
      </c>
      <c r="J12" s="15" t="s">
        <v>340</v>
      </c>
      <c r="K12" s="15" t="s">
        <v>340</v>
      </c>
      <c r="L12" s="15" t="s">
        <v>340</v>
      </c>
      <c r="M12" s="15" t="s">
        <v>340</v>
      </c>
      <c r="N12" s="15" t="s">
        <v>340</v>
      </c>
      <c r="O12" s="15" t="s">
        <v>340</v>
      </c>
      <c r="P12" s="15" t="s">
        <v>340</v>
      </c>
      <c r="Q12" s="15" t="s">
        <v>340</v>
      </c>
    </row>
    <row r="13" spans="1:17" x14ac:dyDescent="0.25">
      <c r="A13" s="4" t="s">
        <v>63</v>
      </c>
      <c r="B13" s="58" t="s">
        <v>252</v>
      </c>
      <c r="C13" s="67" t="s">
        <v>354</v>
      </c>
    </row>
    <row r="14" spans="1:17" x14ac:dyDescent="0.25">
      <c r="A14" s="4" t="s">
        <v>63</v>
      </c>
      <c r="B14" s="58" t="s">
        <v>310</v>
      </c>
      <c r="C14" s="30" t="s">
        <v>591</v>
      </c>
      <c r="D14" s="30" t="s">
        <v>590</v>
      </c>
      <c r="E14" s="30" t="s">
        <v>557</v>
      </c>
      <c r="F14" s="30" t="s">
        <v>602</v>
      </c>
      <c r="G14" s="30" t="s">
        <v>592</v>
      </c>
      <c r="H14" s="30" t="s">
        <v>593</v>
      </c>
      <c r="I14" s="30" t="s">
        <v>594</v>
      </c>
      <c r="J14" s="30" t="s">
        <v>503</v>
      </c>
      <c r="K14" s="30" t="s">
        <v>445</v>
      </c>
      <c r="L14" s="30" t="s">
        <v>383</v>
      </c>
      <c r="M14" s="30" t="s">
        <v>595</v>
      </c>
      <c r="N14" s="30" t="s">
        <v>418</v>
      </c>
      <c r="O14" s="30" t="s">
        <v>596</v>
      </c>
      <c r="P14" s="30" t="s">
        <v>419</v>
      </c>
      <c r="Q14" s="30" t="s">
        <v>552</v>
      </c>
    </row>
    <row r="15" spans="1:17" x14ac:dyDescent="0.25">
      <c r="A15" s="4" t="s">
        <v>63</v>
      </c>
      <c r="B15" s="58" t="s">
        <v>311</v>
      </c>
      <c r="C15" s="30" t="s">
        <v>591</v>
      </c>
      <c r="D15" s="30" t="s">
        <v>590</v>
      </c>
      <c r="E15" s="30" t="s">
        <v>557</v>
      </c>
      <c r="F15" s="30" t="s">
        <v>602</v>
      </c>
      <c r="G15" s="30" t="s">
        <v>592</v>
      </c>
      <c r="H15" s="30" t="s">
        <v>593</v>
      </c>
      <c r="I15" s="30" t="s">
        <v>594</v>
      </c>
      <c r="J15" s="30" t="s">
        <v>503</v>
      </c>
      <c r="K15" s="30" t="s">
        <v>445</v>
      </c>
      <c r="L15" s="30" t="s">
        <v>383</v>
      </c>
      <c r="M15" s="30" t="s">
        <v>595</v>
      </c>
      <c r="N15" s="30" t="s">
        <v>418</v>
      </c>
      <c r="O15" s="30" t="s">
        <v>596</v>
      </c>
      <c r="P15" s="30" t="s">
        <v>419</v>
      </c>
      <c r="Q15" s="30" t="s">
        <v>552</v>
      </c>
    </row>
    <row r="16" spans="1:17" x14ac:dyDescent="0.25">
      <c r="A16" s="4" t="s">
        <v>63</v>
      </c>
      <c r="B16" s="58" t="s">
        <v>312</v>
      </c>
      <c r="C16" s="13" t="s">
        <v>355</v>
      </c>
      <c r="D16" s="13" t="s">
        <v>355</v>
      </c>
      <c r="E16" s="13" t="s">
        <v>355</v>
      </c>
      <c r="F16" s="13" t="s">
        <v>355</v>
      </c>
      <c r="G16" s="13" t="s">
        <v>355</v>
      </c>
      <c r="H16" s="13" t="s">
        <v>355</v>
      </c>
      <c r="I16" s="13" t="s">
        <v>355</v>
      </c>
      <c r="J16" s="13" t="s">
        <v>355</v>
      </c>
      <c r="K16" s="13" t="s">
        <v>355</v>
      </c>
      <c r="L16" s="13" t="s">
        <v>355</v>
      </c>
      <c r="M16" s="13" t="s">
        <v>355</v>
      </c>
      <c r="N16" s="13" t="s">
        <v>355</v>
      </c>
      <c r="O16" s="13" t="s">
        <v>355</v>
      </c>
      <c r="P16" s="13" t="s">
        <v>355</v>
      </c>
      <c r="Q16" s="13" t="s">
        <v>355</v>
      </c>
    </row>
    <row r="17" spans="1:17" x14ac:dyDescent="0.25">
      <c r="A17" s="6" t="s">
        <v>63</v>
      </c>
      <c r="B17" s="58" t="s">
        <v>313</v>
      </c>
      <c r="C17" s="13"/>
      <c r="D17" s="13"/>
      <c r="E17" s="13" t="s">
        <v>548</v>
      </c>
      <c r="F17" s="13" t="s">
        <v>548</v>
      </c>
      <c r="G17" s="13"/>
      <c r="H17" s="13" t="s">
        <v>550</v>
      </c>
      <c r="I17" s="13" t="s">
        <v>548</v>
      </c>
      <c r="J17" s="13"/>
      <c r="K17" s="13"/>
      <c r="L17" s="13"/>
      <c r="M17" s="13"/>
      <c r="N17" s="13"/>
      <c r="O17" s="13"/>
      <c r="P17" s="13"/>
      <c r="Q17" s="13"/>
    </row>
    <row r="18" spans="1:17" x14ac:dyDescent="0.25">
      <c r="A18" s="6" t="s">
        <v>63</v>
      </c>
      <c r="B18" s="58" t="s">
        <v>314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x14ac:dyDescent="0.25">
      <c r="A19" s="6" t="s">
        <v>63</v>
      </c>
      <c r="B19" s="58" t="s">
        <v>315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x14ac:dyDescent="0.25">
      <c r="A20" s="4" t="s">
        <v>63</v>
      </c>
      <c r="B20" s="58" t="s">
        <v>316</v>
      </c>
      <c r="C20" s="13" t="s">
        <v>356</v>
      </c>
      <c r="D20" s="13" t="s">
        <v>356</v>
      </c>
      <c r="E20" s="13" t="s">
        <v>356</v>
      </c>
      <c r="F20" s="13" t="s">
        <v>356</v>
      </c>
      <c r="G20" s="13" t="s">
        <v>356</v>
      </c>
      <c r="H20" s="13" t="s">
        <v>356</v>
      </c>
      <c r="I20" s="13" t="s">
        <v>356</v>
      </c>
      <c r="J20" s="13" t="s">
        <v>356</v>
      </c>
      <c r="K20" s="13" t="s">
        <v>356</v>
      </c>
      <c r="L20" s="13" t="s">
        <v>356</v>
      </c>
      <c r="M20" s="13" t="s">
        <v>420</v>
      </c>
      <c r="N20" s="13" t="s">
        <v>421</v>
      </c>
      <c r="O20" s="13" t="s">
        <v>422</v>
      </c>
      <c r="P20" s="13" t="s">
        <v>423</v>
      </c>
      <c r="Q20" s="13" t="s">
        <v>424</v>
      </c>
    </row>
    <row r="21" spans="1:17" x14ac:dyDescent="0.25">
      <c r="A21" s="4" t="s">
        <v>63</v>
      </c>
      <c r="B21" s="58" t="s">
        <v>317</v>
      </c>
      <c r="C21" s="13" t="s">
        <v>76</v>
      </c>
      <c r="D21" s="13" t="s">
        <v>272</v>
      </c>
      <c r="E21" s="13" t="s">
        <v>76</v>
      </c>
      <c r="F21" s="13" t="s">
        <v>76</v>
      </c>
      <c r="G21" s="13" t="s">
        <v>272</v>
      </c>
      <c r="H21" s="13" t="s">
        <v>272</v>
      </c>
      <c r="I21" s="13" t="s">
        <v>76</v>
      </c>
      <c r="J21" s="13" t="s">
        <v>272</v>
      </c>
      <c r="K21" s="13" t="s">
        <v>76</v>
      </c>
      <c r="L21" s="13" t="s">
        <v>272</v>
      </c>
      <c r="M21" s="13" t="s">
        <v>272</v>
      </c>
      <c r="N21" s="13" t="s">
        <v>272</v>
      </c>
      <c r="O21" s="13" t="s">
        <v>272</v>
      </c>
      <c r="P21" s="13" t="s">
        <v>272</v>
      </c>
      <c r="Q21" s="13" t="s">
        <v>272</v>
      </c>
    </row>
    <row r="22" spans="1:17" x14ac:dyDescent="0.25">
      <c r="A22" s="6" t="s">
        <v>63</v>
      </c>
      <c r="B22" s="58" t="s">
        <v>318</v>
      </c>
      <c r="C22" s="13" t="s">
        <v>357</v>
      </c>
      <c r="D22" s="13" t="s">
        <v>357</v>
      </c>
      <c r="E22" s="13"/>
      <c r="F22" s="13"/>
      <c r="G22" s="13"/>
      <c r="H22" s="13"/>
      <c r="I22" s="13"/>
      <c r="J22" s="13"/>
      <c r="K22" s="13" t="s">
        <v>357</v>
      </c>
      <c r="L22" s="13" t="s">
        <v>357</v>
      </c>
      <c r="M22" s="13" t="s">
        <v>357</v>
      </c>
      <c r="N22" s="13" t="s">
        <v>357</v>
      </c>
      <c r="O22" s="13"/>
      <c r="P22" s="13" t="s">
        <v>357</v>
      </c>
      <c r="Q22" s="13"/>
    </row>
    <row r="23" spans="1:17" ht="30" x14ac:dyDescent="0.25">
      <c r="A23" s="6" t="s">
        <v>63</v>
      </c>
      <c r="B23" s="58" t="s">
        <v>319</v>
      </c>
      <c r="C23" s="13" t="s">
        <v>358</v>
      </c>
      <c r="D23" s="13" t="s">
        <v>358</v>
      </c>
      <c r="E23" s="13"/>
      <c r="F23" s="13" t="s">
        <v>358</v>
      </c>
      <c r="G23" s="13"/>
      <c r="H23" s="13" t="s">
        <v>358</v>
      </c>
      <c r="I23" s="13" t="s">
        <v>358</v>
      </c>
      <c r="J23" s="13" t="s">
        <v>358</v>
      </c>
      <c r="K23" s="13"/>
      <c r="L23" s="13"/>
      <c r="M23" s="13" t="s">
        <v>565</v>
      </c>
      <c r="N23" s="13" t="s">
        <v>565</v>
      </c>
      <c r="O23" s="13"/>
      <c r="P23" s="13" t="s">
        <v>565</v>
      </c>
      <c r="Q23" s="13" t="s">
        <v>565</v>
      </c>
    </row>
    <row r="24" spans="1:17" x14ac:dyDescent="0.25">
      <c r="A24" s="6" t="s">
        <v>63</v>
      </c>
      <c r="B24" s="58" t="s">
        <v>320</v>
      </c>
      <c r="C24" s="13" t="s">
        <v>359</v>
      </c>
      <c r="D24" s="13" t="s">
        <v>359</v>
      </c>
      <c r="E24" s="13"/>
      <c r="F24" s="13" t="s">
        <v>359</v>
      </c>
      <c r="G24" s="13"/>
      <c r="H24" s="13" t="s">
        <v>359</v>
      </c>
      <c r="I24" s="13" t="s">
        <v>359</v>
      </c>
      <c r="J24" s="13" t="s">
        <v>359</v>
      </c>
      <c r="K24" s="13"/>
      <c r="L24" s="13"/>
      <c r="M24" s="13" t="s">
        <v>67</v>
      </c>
      <c r="N24" s="13" t="s">
        <v>425</v>
      </c>
      <c r="O24" s="13"/>
      <c r="P24" s="13" t="s">
        <v>426</v>
      </c>
      <c r="Q24" s="13" t="s">
        <v>427</v>
      </c>
    </row>
    <row r="25" spans="1:17" ht="30" x14ac:dyDescent="0.25">
      <c r="A25" s="6" t="s">
        <v>63</v>
      </c>
      <c r="B25" s="58" t="s">
        <v>321</v>
      </c>
      <c r="C25" s="13" t="s">
        <v>360</v>
      </c>
      <c r="D25" s="13" t="s">
        <v>360</v>
      </c>
      <c r="E25" s="13"/>
      <c r="F25" s="13" t="s">
        <v>360</v>
      </c>
      <c r="G25" s="13"/>
      <c r="H25" s="13" t="s">
        <v>360</v>
      </c>
      <c r="I25" s="13"/>
      <c r="J25" s="13" t="s">
        <v>360</v>
      </c>
      <c r="K25" s="13"/>
      <c r="L25" s="13"/>
      <c r="M25" s="13" t="s">
        <v>566</v>
      </c>
      <c r="N25" s="13" t="s">
        <v>566</v>
      </c>
      <c r="O25" s="13"/>
      <c r="P25" s="13" t="s">
        <v>566</v>
      </c>
      <c r="Q25" s="13" t="s">
        <v>566</v>
      </c>
    </row>
    <row r="26" spans="1:17" ht="30" x14ac:dyDescent="0.25">
      <c r="A26" s="6" t="s">
        <v>63</v>
      </c>
      <c r="B26" s="58" t="s">
        <v>322</v>
      </c>
      <c r="C26" s="13" t="s">
        <v>361</v>
      </c>
      <c r="D26" s="13" t="s">
        <v>361</v>
      </c>
      <c r="E26" s="13"/>
      <c r="F26" s="13" t="s">
        <v>361</v>
      </c>
      <c r="G26" s="13"/>
      <c r="H26" s="13" t="s">
        <v>361</v>
      </c>
      <c r="I26" s="13" t="s">
        <v>361</v>
      </c>
      <c r="J26" s="13"/>
      <c r="K26" s="13"/>
      <c r="L26" s="13"/>
      <c r="M26" s="13" t="s">
        <v>567</v>
      </c>
      <c r="N26" s="13" t="s">
        <v>567</v>
      </c>
      <c r="O26" s="13"/>
      <c r="P26" s="13"/>
      <c r="Q26" s="13" t="s">
        <v>567</v>
      </c>
    </row>
    <row r="27" spans="1:17" ht="30" x14ac:dyDescent="0.25">
      <c r="A27" s="6" t="s">
        <v>63</v>
      </c>
      <c r="B27" s="58" t="s">
        <v>323</v>
      </c>
      <c r="C27" s="13" t="s">
        <v>362</v>
      </c>
      <c r="D27" s="13" t="s">
        <v>362</v>
      </c>
      <c r="E27" s="13"/>
      <c r="F27" s="13" t="s">
        <v>362</v>
      </c>
      <c r="G27" s="13"/>
      <c r="H27" s="13" t="s">
        <v>362</v>
      </c>
      <c r="I27" s="13"/>
      <c r="J27" s="13" t="s">
        <v>362</v>
      </c>
      <c r="K27" s="13"/>
      <c r="L27" s="13"/>
      <c r="M27" s="13" t="s">
        <v>428</v>
      </c>
      <c r="N27" s="13" t="s">
        <v>429</v>
      </c>
      <c r="O27" s="13"/>
      <c r="P27" s="13"/>
      <c r="Q27" s="13" t="s">
        <v>435</v>
      </c>
    </row>
    <row r="28" spans="1:17" ht="30" x14ac:dyDescent="0.25">
      <c r="A28" s="6" t="s">
        <v>63</v>
      </c>
      <c r="B28" s="58" t="s">
        <v>324</v>
      </c>
      <c r="C28" s="13" t="s">
        <v>363</v>
      </c>
      <c r="D28" s="13" t="s">
        <v>363</v>
      </c>
      <c r="E28" s="13"/>
      <c r="F28" s="13" t="s">
        <v>363</v>
      </c>
      <c r="G28" s="13"/>
      <c r="H28" s="13" t="s">
        <v>363</v>
      </c>
      <c r="I28" s="13" t="s">
        <v>363</v>
      </c>
      <c r="J28" s="13" t="s">
        <v>363</v>
      </c>
      <c r="K28" s="13"/>
      <c r="L28" s="13"/>
      <c r="M28" s="13" t="s">
        <v>429</v>
      </c>
      <c r="N28" s="13" t="s">
        <v>434</v>
      </c>
      <c r="O28" s="13"/>
      <c r="P28" s="13"/>
      <c r="Q28" s="13" t="s">
        <v>436</v>
      </c>
    </row>
    <row r="29" spans="1:17" ht="30" x14ac:dyDescent="0.25">
      <c r="A29" s="6" t="s">
        <v>63</v>
      </c>
      <c r="B29" s="59" t="s">
        <v>325</v>
      </c>
      <c r="C29" s="13" t="s">
        <v>364</v>
      </c>
      <c r="D29" s="13" t="s">
        <v>364</v>
      </c>
      <c r="E29" s="13"/>
      <c r="F29" s="13" t="s">
        <v>364</v>
      </c>
      <c r="G29" s="13"/>
      <c r="H29" s="13" t="s">
        <v>364</v>
      </c>
      <c r="I29" s="13" t="s">
        <v>364</v>
      </c>
      <c r="J29" s="13" t="s">
        <v>364</v>
      </c>
      <c r="K29" s="13"/>
      <c r="L29" s="13"/>
      <c r="M29" s="13" t="s">
        <v>568</v>
      </c>
      <c r="N29" s="13" t="s">
        <v>568</v>
      </c>
      <c r="O29" s="13"/>
      <c r="P29" s="13" t="s">
        <v>568</v>
      </c>
      <c r="Q29" s="13" t="s">
        <v>569</v>
      </c>
    </row>
    <row r="30" spans="1:17" x14ac:dyDescent="0.25">
      <c r="A30" s="6" t="s">
        <v>63</v>
      </c>
      <c r="B30" s="58" t="s">
        <v>326</v>
      </c>
      <c r="C30" s="13" t="s">
        <v>149</v>
      </c>
      <c r="D30" s="13" t="s">
        <v>149</v>
      </c>
      <c r="E30" s="13"/>
      <c r="F30" s="13" t="s">
        <v>149</v>
      </c>
      <c r="G30" s="13"/>
      <c r="H30" s="13" t="s">
        <v>149</v>
      </c>
      <c r="I30" s="13" t="s">
        <v>149</v>
      </c>
      <c r="J30" s="13"/>
      <c r="K30" s="13"/>
      <c r="L30" s="13"/>
      <c r="M30" s="13" t="s">
        <v>149</v>
      </c>
      <c r="N30" s="13" t="s">
        <v>149</v>
      </c>
      <c r="O30" s="13"/>
      <c r="P30" s="13" t="s">
        <v>149</v>
      </c>
      <c r="Q30" s="13" t="s">
        <v>149</v>
      </c>
    </row>
    <row r="31" spans="1:17" x14ac:dyDescent="0.25">
      <c r="A31" s="6" t="s">
        <v>63</v>
      </c>
      <c r="B31" s="58" t="s">
        <v>327</v>
      </c>
      <c r="C31" s="13" t="s">
        <v>365</v>
      </c>
      <c r="D31" s="13" t="s">
        <v>365</v>
      </c>
      <c r="E31" s="13"/>
      <c r="F31" s="13" t="s">
        <v>365</v>
      </c>
      <c r="G31" s="13"/>
      <c r="H31" s="13" t="s">
        <v>365</v>
      </c>
      <c r="I31" s="13"/>
      <c r="J31" s="13" t="s">
        <v>365</v>
      </c>
      <c r="K31" s="13"/>
      <c r="L31" s="13"/>
      <c r="M31" s="13" t="s">
        <v>430</v>
      </c>
      <c r="N31" s="13" t="s">
        <v>437</v>
      </c>
      <c r="O31" s="13"/>
      <c r="P31" s="13" t="s">
        <v>438</v>
      </c>
      <c r="Q31" s="13" t="s">
        <v>439</v>
      </c>
    </row>
    <row r="32" spans="1:17" x14ac:dyDescent="0.25">
      <c r="A32" s="6" t="s">
        <v>63</v>
      </c>
      <c r="B32" s="58" t="s">
        <v>328</v>
      </c>
      <c r="C32" s="13" t="s">
        <v>366</v>
      </c>
      <c r="D32" s="13" t="s">
        <v>366</v>
      </c>
      <c r="E32" s="13"/>
      <c r="F32" s="13"/>
      <c r="G32" s="13"/>
      <c r="H32" s="13"/>
      <c r="I32" s="13" t="s">
        <v>366</v>
      </c>
      <c r="J32" s="13" t="s">
        <v>366</v>
      </c>
      <c r="K32" s="13" t="s">
        <v>366</v>
      </c>
      <c r="L32" s="13" t="s">
        <v>366</v>
      </c>
      <c r="M32" s="13" t="s">
        <v>431</v>
      </c>
      <c r="N32" s="13" t="s">
        <v>432</v>
      </c>
      <c r="O32" s="13"/>
      <c r="P32" s="13" t="s">
        <v>433</v>
      </c>
      <c r="Q32" s="13"/>
    </row>
    <row r="33" spans="1:17" x14ac:dyDescent="0.25">
      <c r="A33" s="6" t="s">
        <v>63</v>
      </c>
      <c r="B33" s="58" t="s">
        <v>329</v>
      </c>
      <c r="C33" s="13" t="s">
        <v>367</v>
      </c>
      <c r="D33" s="13" t="s">
        <v>367</v>
      </c>
      <c r="E33" s="13"/>
      <c r="F33" s="13"/>
      <c r="G33" s="13"/>
      <c r="H33" s="13"/>
      <c r="I33" s="13" t="s">
        <v>367</v>
      </c>
      <c r="J33" s="13" t="s">
        <v>367</v>
      </c>
      <c r="K33" s="13" t="s">
        <v>367</v>
      </c>
      <c r="L33" s="13" t="s">
        <v>367</v>
      </c>
      <c r="M33" s="13" t="s">
        <v>367</v>
      </c>
      <c r="N33" s="13" t="s">
        <v>367</v>
      </c>
      <c r="O33" s="13"/>
      <c r="P33" s="13" t="s">
        <v>367</v>
      </c>
      <c r="Q33" s="13"/>
    </row>
    <row r="34" spans="1:17" ht="45" x14ac:dyDescent="0.25">
      <c r="A34" s="6" t="s">
        <v>63</v>
      </c>
      <c r="B34" s="58" t="s">
        <v>330</v>
      </c>
      <c r="C34" s="33" t="s">
        <v>368</v>
      </c>
      <c r="D34" s="13" t="s">
        <v>368</v>
      </c>
      <c r="E34" s="13"/>
      <c r="F34" s="13"/>
      <c r="G34" s="13"/>
      <c r="H34" s="13"/>
      <c r="I34" s="13" t="s">
        <v>368</v>
      </c>
      <c r="J34" s="13" t="s">
        <v>368</v>
      </c>
      <c r="K34" s="13" t="s">
        <v>368</v>
      </c>
      <c r="L34" s="13" t="s">
        <v>368</v>
      </c>
      <c r="M34" s="13" t="s">
        <v>368</v>
      </c>
      <c r="N34" s="13" t="s">
        <v>368</v>
      </c>
      <c r="O34" s="13"/>
      <c r="P34" s="13" t="s">
        <v>368</v>
      </c>
      <c r="Q34" s="13"/>
    </row>
    <row r="35" spans="1:17" x14ac:dyDescent="0.25">
      <c r="A35" s="6" t="s">
        <v>63</v>
      </c>
      <c r="B35" s="58" t="s">
        <v>331</v>
      </c>
      <c r="C35" s="13" t="s">
        <v>369</v>
      </c>
      <c r="D35" s="13" t="s">
        <v>369</v>
      </c>
      <c r="E35" s="13" t="s">
        <v>369</v>
      </c>
      <c r="F35" s="13" t="s">
        <v>369</v>
      </c>
      <c r="G35" s="13" t="s">
        <v>369</v>
      </c>
      <c r="H35" s="13" t="s">
        <v>369</v>
      </c>
      <c r="I35" s="13" t="s">
        <v>369</v>
      </c>
      <c r="J35" s="13" t="s">
        <v>369</v>
      </c>
      <c r="K35" s="13" t="s">
        <v>369</v>
      </c>
      <c r="L35" s="13" t="s">
        <v>369</v>
      </c>
      <c r="M35" s="13" t="s">
        <v>369</v>
      </c>
      <c r="N35" s="13" t="s">
        <v>369</v>
      </c>
      <c r="O35" s="13" t="s">
        <v>369</v>
      </c>
      <c r="P35" s="13" t="s">
        <v>369</v>
      </c>
      <c r="Q35" s="13" t="s">
        <v>369</v>
      </c>
    </row>
    <row r="36" spans="1:17" x14ac:dyDescent="0.25">
      <c r="A36" s="4" t="s">
        <v>63</v>
      </c>
      <c r="B36" s="61" t="s">
        <v>307</v>
      </c>
      <c r="C36" s="15" t="s">
        <v>341</v>
      </c>
      <c r="D36" s="15" t="s">
        <v>341</v>
      </c>
      <c r="E36" s="15" t="s">
        <v>341</v>
      </c>
      <c r="F36" s="15" t="s">
        <v>341</v>
      </c>
      <c r="G36" s="15" t="s">
        <v>341</v>
      </c>
      <c r="H36" s="15" t="s">
        <v>341</v>
      </c>
      <c r="I36" s="15" t="s">
        <v>341</v>
      </c>
      <c r="J36" s="15" t="s">
        <v>341</v>
      </c>
      <c r="K36" s="15" t="s">
        <v>341</v>
      </c>
      <c r="L36" s="15" t="s">
        <v>341</v>
      </c>
      <c r="M36" s="15" t="s">
        <v>341</v>
      </c>
      <c r="N36" s="15" t="s">
        <v>341</v>
      </c>
      <c r="O36" s="15" t="s">
        <v>341</v>
      </c>
      <c r="P36" s="15" t="s">
        <v>341</v>
      </c>
      <c r="Q36" s="15" t="s">
        <v>341</v>
      </c>
    </row>
    <row r="37" spans="1:17" x14ac:dyDescent="0.25">
      <c r="A37" s="4" t="s">
        <v>63</v>
      </c>
      <c r="B37" s="62" t="s">
        <v>252</v>
      </c>
      <c r="C37" s="67" t="s">
        <v>354</v>
      </c>
    </row>
    <row r="38" spans="1:17" x14ac:dyDescent="0.25">
      <c r="A38" s="4" t="s">
        <v>63</v>
      </c>
      <c r="B38" s="62" t="s">
        <v>332</v>
      </c>
      <c r="C38" s="13" t="s">
        <v>370</v>
      </c>
      <c r="D38" s="13" t="s">
        <v>384</v>
      </c>
      <c r="E38" s="13" t="s">
        <v>379</v>
      </c>
      <c r="F38" s="13" t="s">
        <v>487</v>
      </c>
      <c r="G38" s="13" t="s">
        <v>481</v>
      </c>
      <c r="H38" s="13" t="s">
        <v>482</v>
      </c>
      <c r="I38" s="13" t="s">
        <v>370</v>
      </c>
      <c r="J38" s="13" t="s">
        <v>483</v>
      </c>
      <c r="K38" s="13" t="s">
        <v>484</v>
      </c>
      <c r="L38" s="13" t="s">
        <v>485</v>
      </c>
      <c r="M38" s="13" t="s">
        <v>486</v>
      </c>
      <c r="N38" s="13" t="s">
        <v>384</v>
      </c>
      <c r="O38" s="13" t="s">
        <v>384</v>
      </c>
      <c r="P38" s="13" t="s">
        <v>384</v>
      </c>
      <c r="Q38" s="13" t="s">
        <v>384</v>
      </c>
    </row>
    <row r="39" spans="1:17" x14ac:dyDescent="0.25">
      <c r="A39" s="6" t="s">
        <v>63</v>
      </c>
      <c r="B39" s="62" t="s">
        <v>333</v>
      </c>
      <c r="C39" s="13" t="s">
        <v>76</v>
      </c>
      <c r="D39" s="13" t="s">
        <v>272</v>
      </c>
      <c r="E39" s="13" t="s">
        <v>272</v>
      </c>
      <c r="F39" s="13" t="s">
        <v>272</v>
      </c>
      <c r="G39" s="13" t="s">
        <v>272</v>
      </c>
      <c r="H39" s="13" t="s">
        <v>272</v>
      </c>
      <c r="I39" s="13" t="s">
        <v>272</v>
      </c>
      <c r="J39" s="13" t="s">
        <v>272</v>
      </c>
      <c r="K39" s="13" t="s">
        <v>272</v>
      </c>
      <c r="L39" s="13" t="s">
        <v>272</v>
      </c>
      <c r="M39" s="13" t="s">
        <v>272</v>
      </c>
      <c r="N39" s="13" t="s">
        <v>272</v>
      </c>
      <c r="O39" s="13" t="s">
        <v>272</v>
      </c>
      <c r="P39" s="13" t="s">
        <v>272</v>
      </c>
      <c r="Q39" s="13" t="s">
        <v>272</v>
      </c>
    </row>
    <row r="40" spans="1:17" x14ac:dyDescent="0.25">
      <c r="A40" s="6" t="s">
        <v>63</v>
      </c>
      <c r="B40" s="62" t="s">
        <v>313</v>
      </c>
      <c r="C40" s="13"/>
      <c r="D40" s="13" t="s">
        <v>548</v>
      </c>
      <c r="E40" s="13"/>
      <c r="F40" s="13" t="s">
        <v>549</v>
      </c>
      <c r="G40" s="13" t="s">
        <v>548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x14ac:dyDescent="0.25">
      <c r="A41" s="6" t="s">
        <v>63</v>
      </c>
      <c r="B41" s="62" t="s">
        <v>314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x14ac:dyDescent="0.25">
      <c r="A42" s="6" t="s">
        <v>63</v>
      </c>
      <c r="B42" s="62" t="s">
        <v>315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x14ac:dyDescent="0.25">
      <c r="A43" s="4" t="s">
        <v>63</v>
      </c>
      <c r="B43" s="56" t="s">
        <v>307</v>
      </c>
      <c r="C43" s="15" t="s">
        <v>342</v>
      </c>
    </row>
    <row r="44" spans="1:17" x14ac:dyDescent="0.25">
      <c r="A44" s="4" t="s">
        <v>63</v>
      </c>
      <c r="B44" s="56" t="s">
        <v>252</v>
      </c>
      <c r="C44" s="67" t="s">
        <v>354</v>
      </c>
    </row>
    <row r="45" spans="1:17" x14ac:dyDescent="0.25">
      <c r="A45" s="4" t="s">
        <v>63</v>
      </c>
      <c r="B45" s="56" t="s">
        <v>334</v>
      </c>
      <c r="C45" s="67" t="s">
        <v>371</v>
      </c>
    </row>
    <row r="46" spans="1:17" x14ac:dyDescent="0.25">
      <c r="A46" s="4" t="s">
        <v>63</v>
      </c>
      <c r="B46" s="63" t="s">
        <v>307</v>
      </c>
      <c r="C46" s="15" t="s">
        <v>343</v>
      </c>
    </row>
    <row r="47" spans="1:17" x14ac:dyDescent="0.25">
      <c r="A47" s="4" t="s">
        <v>63</v>
      </c>
      <c r="B47" s="63" t="s">
        <v>252</v>
      </c>
      <c r="C47" s="67" t="s">
        <v>354</v>
      </c>
    </row>
    <row r="48" spans="1:17" x14ac:dyDescent="0.25">
      <c r="A48" s="4" t="s">
        <v>63</v>
      </c>
      <c r="B48" s="63" t="s">
        <v>168</v>
      </c>
      <c r="C48" s="67" t="s">
        <v>354</v>
      </c>
    </row>
    <row r="49" spans="1:3" x14ac:dyDescent="0.25">
      <c r="A49" s="4" t="s">
        <v>63</v>
      </c>
      <c r="B49" s="63" t="s">
        <v>335</v>
      </c>
      <c r="C49" s="67" t="s">
        <v>371</v>
      </c>
    </row>
    <row r="50" spans="1:3" x14ac:dyDescent="0.25">
      <c r="A50" s="4" t="s">
        <v>63</v>
      </c>
      <c r="B50" s="64" t="s">
        <v>307</v>
      </c>
      <c r="C50" s="15" t="s">
        <v>344</v>
      </c>
    </row>
    <row r="51" spans="1:3" x14ac:dyDescent="0.25">
      <c r="A51" s="4" t="s">
        <v>63</v>
      </c>
      <c r="B51" s="64" t="s">
        <v>168</v>
      </c>
      <c r="C51" s="67" t="s">
        <v>354</v>
      </c>
    </row>
    <row r="52" spans="1:3" x14ac:dyDescent="0.25">
      <c r="A52" s="4" t="s">
        <v>63</v>
      </c>
      <c r="B52" s="64" t="s">
        <v>336</v>
      </c>
      <c r="C52" s="67" t="s">
        <v>371</v>
      </c>
    </row>
    <row r="53" spans="1:3" x14ac:dyDescent="0.25">
      <c r="A53" s="4" t="s">
        <v>63</v>
      </c>
      <c r="B53" s="57" t="s">
        <v>307</v>
      </c>
      <c r="C53" s="15" t="s">
        <v>345</v>
      </c>
    </row>
    <row r="54" spans="1:3" x14ac:dyDescent="0.25">
      <c r="A54" s="6" t="s">
        <v>63</v>
      </c>
      <c r="B54" s="57" t="s">
        <v>308</v>
      </c>
      <c r="C54" s="13" t="str">
        <f>C4</f>
        <v>987654321</v>
      </c>
    </row>
    <row r="55" spans="1:3" x14ac:dyDescent="0.25">
      <c r="A55" s="4" t="s">
        <v>63</v>
      </c>
      <c r="B55" s="57" t="s">
        <v>337</v>
      </c>
      <c r="C55" s="67" t="s">
        <v>371</v>
      </c>
    </row>
  </sheetData>
  <dataValidations count="12">
    <dataValidation type="list" showErrorMessage="1" errorTitle="!!Field Selection Invalid!!" error="Only Fields to be selected are 'Have' &amp; 'Don't Have'" sqref="A2:A55">
      <formula1>"Have, Don't Have"</formula1>
    </dataValidation>
    <dataValidation type="list" allowBlank="1" showInputMessage="1" showErrorMessage="1" sqref="C2">
      <formula1>"AAA"</formula1>
    </dataValidation>
    <dataValidation type="list" allowBlank="1" showInputMessage="1" showErrorMessage="1" sqref="C8">
      <formula1>"BBB"</formula1>
    </dataValidation>
    <dataValidation type="list" allowBlank="1" showInputMessage="1" showErrorMessage="1" sqref="C12:Q12">
      <formula1>"CCC"</formula1>
    </dataValidation>
    <dataValidation type="list" allowBlank="1" showInputMessage="1" showErrorMessage="1" sqref="C36:Q36">
      <formula1>"DDD"</formula1>
    </dataValidation>
    <dataValidation type="list" allowBlank="1" showInputMessage="1" showErrorMessage="1" sqref="C43">
      <formula1>"WWW"</formula1>
    </dataValidation>
    <dataValidation type="list" allowBlank="1" showInputMessage="1" showErrorMessage="1" sqref="C46">
      <formula1>"XXX"</formula1>
    </dataValidation>
    <dataValidation type="list" allowBlank="1" showInputMessage="1" showErrorMessage="1" sqref="C50">
      <formula1>"YYY"</formula1>
    </dataValidation>
    <dataValidation type="list" allowBlank="1" showInputMessage="1" showErrorMessage="1" sqref="C53">
      <formula1>"ZZZ"</formula1>
    </dataValidation>
    <dataValidation type="list" allowBlank="1" showInputMessage="1" showErrorMessage="1" sqref="C11">
      <formula1>"IMGNX"</formula1>
    </dataValidation>
    <dataValidation type="list" allowBlank="1" showInputMessage="1" showErrorMessage="1" sqref="C16:Q16">
      <formula1>"IP, OP, SNF, HOP"</formula1>
    </dataValidation>
    <dataValidation type="list" allowBlank="1" showInputMessage="1" showErrorMessage="1" sqref="C21:Q21 C39:Q39">
      <formula1>"Y, N"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66"/>
  <sheetViews>
    <sheetView workbookViewId="0">
      <pane ySplit="1" topLeftCell="A2" activePane="bottomLeft" state="frozen"/>
      <selection pane="bottomLeft" activeCell="B26" sqref="B26"/>
    </sheetView>
  </sheetViews>
  <sheetFormatPr defaultRowHeight="15" x14ac:dyDescent="0.25"/>
  <cols>
    <col min="1" max="1" width="15.7109375" customWidth="1"/>
    <col min="2" max="2" width="32.7109375" customWidth="1"/>
    <col min="3" max="4" width="22" bestFit="1" customWidth="1"/>
  </cols>
  <sheetData>
    <row r="1" spans="1:4" x14ac:dyDescent="0.25">
      <c r="A1" s="9" t="s">
        <v>62</v>
      </c>
      <c r="B1" s="8" t="s">
        <v>1</v>
      </c>
      <c r="C1" s="8" t="s">
        <v>61</v>
      </c>
      <c r="D1" s="31" t="s">
        <v>235</v>
      </c>
    </row>
    <row r="2" spans="1:4" x14ac:dyDescent="0.25">
      <c r="A2" s="4" t="s">
        <v>63</v>
      </c>
      <c r="B2" s="3" t="s">
        <v>168</v>
      </c>
      <c r="C2" s="30" t="s">
        <v>608</v>
      </c>
      <c r="D2" s="33" t="str">
        <f>UPPER('Project Data'!D59)</f>
        <v>SUPP5PAF1</v>
      </c>
    </row>
    <row r="3" spans="1:4" x14ac:dyDescent="0.25">
      <c r="A3" s="4" t="s">
        <v>63</v>
      </c>
      <c r="B3" s="18" t="s">
        <v>169</v>
      </c>
      <c r="C3" s="13" t="s">
        <v>609</v>
      </c>
      <c r="D3" s="33" t="str">
        <f>UPPER('Project Data'!D60)</f>
        <v>SUPP5CHRT2</v>
      </c>
    </row>
    <row r="4" spans="1:4" x14ac:dyDescent="0.25">
      <c r="A4" s="4" t="s">
        <v>63</v>
      </c>
      <c r="B4" s="3" t="s">
        <v>170</v>
      </c>
      <c r="C4" s="13" t="s">
        <v>220</v>
      </c>
      <c r="D4" s="13" t="s">
        <v>220</v>
      </c>
    </row>
    <row r="5" spans="1:4" x14ac:dyDescent="0.25">
      <c r="A5" s="6" t="s">
        <v>63</v>
      </c>
      <c r="B5" s="18" t="s">
        <v>21</v>
      </c>
      <c r="C5" s="13" t="s">
        <v>604</v>
      </c>
      <c r="D5" s="30" t="str">
        <f>'Project Data'!D21</f>
        <v>SUPP5GD</v>
      </c>
    </row>
    <row r="6" spans="1:4" x14ac:dyDescent="0.25">
      <c r="A6" s="6" t="s">
        <v>64</v>
      </c>
      <c r="B6" s="18" t="s">
        <v>171</v>
      </c>
      <c r="C6" s="13" t="s">
        <v>605</v>
      </c>
      <c r="D6" s="30" t="str">
        <f>'Project Data'!D22</f>
        <v>SUP5D</v>
      </c>
    </row>
    <row r="7" spans="1:4" x14ac:dyDescent="0.25">
      <c r="A7" s="6" t="s">
        <v>63</v>
      </c>
      <c r="B7" s="18" t="s">
        <v>172</v>
      </c>
      <c r="C7" s="13" t="s">
        <v>606</v>
      </c>
      <c r="D7" s="30" t="str">
        <f>'Project Data'!D24</f>
        <v>SUPP5_ENAME</v>
      </c>
    </row>
    <row r="8" spans="1:4" x14ac:dyDescent="0.25">
      <c r="A8" s="6" t="s">
        <v>63</v>
      </c>
      <c r="B8" s="3" t="s">
        <v>173</v>
      </c>
      <c r="C8" s="13" t="s">
        <v>67</v>
      </c>
      <c r="D8" s="30" t="str">
        <f>'Project Data'!D25</f>
        <v>A</v>
      </c>
    </row>
    <row r="9" spans="1:4" x14ac:dyDescent="0.25">
      <c r="A9" s="6" t="s">
        <v>63</v>
      </c>
      <c r="B9" s="18" t="s">
        <v>174</v>
      </c>
      <c r="C9" s="13" t="s">
        <v>606</v>
      </c>
      <c r="D9" s="30" t="str">
        <f>'Project Data'!D23</f>
        <v>SUPP5_ENAME</v>
      </c>
    </row>
    <row r="10" spans="1:4" x14ac:dyDescent="0.25">
      <c r="A10" s="6" t="s">
        <v>63</v>
      </c>
      <c r="B10" s="3" t="s">
        <v>175</v>
      </c>
      <c r="C10" s="13" t="s">
        <v>71</v>
      </c>
      <c r="D10" s="30" t="str">
        <f>'Project Data'!D35</f>
        <v>03/07/1987</v>
      </c>
    </row>
    <row r="11" spans="1:4" x14ac:dyDescent="0.25">
      <c r="A11" s="6" t="s">
        <v>63</v>
      </c>
      <c r="B11" s="3" t="s">
        <v>176</v>
      </c>
      <c r="C11" s="13" t="s">
        <v>544</v>
      </c>
      <c r="D11" s="30" t="str">
        <f>'Project Data'!D27</f>
        <v>AMC</v>
      </c>
    </row>
    <row r="12" spans="1:4" x14ac:dyDescent="0.25">
      <c r="A12" s="6" t="s">
        <v>63</v>
      </c>
      <c r="B12" s="3" t="s">
        <v>177</v>
      </c>
      <c r="C12" s="13" t="s">
        <v>544</v>
      </c>
      <c r="D12" s="30" t="str">
        <f>'Project Data'!D28</f>
        <v>AMC</v>
      </c>
    </row>
    <row r="13" spans="1:4" x14ac:dyDescent="0.25">
      <c r="A13" s="6" t="s">
        <v>63</v>
      </c>
      <c r="B13" s="3" t="s">
        <v>178</v>
      </c>
      <c r="C13" s="13" t="s">
        <v>76</v>
      </c>
      <c r="D13" s="32" t="str">
        <f>'Project Data'!D90</f>
        <v>Y</v>
      </c>
    </row>
    <row r="14" spans="1:4" x14ac:dyDescent="0.25">
      <c r="A14" s="6" t="s">
        <v>63</v>
      </c>
      <c r="B14" s="3" t="s">
        <v>179</v>
      </c>
      <c r="C14" s="30" t="s">
        <v>607</v>
      </c>
      <c r="D14" s="30" t="str">
        <f>'Project Data'!D37</f>
        <v>C_BNA_2112345</v>
      </c>
    </row>
    <row r="15" spans="1:4" x14ac:dyDescent="0.25">
      <c r="A15" s="6" t="s">
        <v>63</v>
      </c>
      <c r="B15" s="3" t="s">
        <v>180</v>
      </c>
      <c r="C15" s="13" t="s">
        <v>244</v>
      </c>
      <c r="D15" s="30" t="str">
        <f>'Project Data'!D40</f>
        <v>08</v>
      </c>
    </row>
    <row r="16" spans="1:4" x14ac:dyDescent="0.25">
      <c r="A16" s="6" t="s">
        <v>63</v>
      </c>
      <c r="B16" s="3" t="s">
        <v>43</v>
      </c>
      <c r="C16" s="13" t="s">
        <v>561</v>
      </c>
      <c r="D16" s="32" t="str">
        <f>'Project Data'!D43</f>
        <v>TOPROVFENME04</v>
      </c>
    </row>
    <row r="17" spans="1:4" x14ac:dyDescent="0.25">
      <c r="A17" s="6" t="s">
        <v>63</v>
      </c>
      <c r="B17" s="3" t="s">
        <v>42</v>
      </c>
      <c r="C17" s="13" t="s">
        <v>560</v>
      </c>
      <c r="D17" s="32" t="str">
        <f>'Project Data'!D42</f>
        <v>TOPROVLENAE04</v>
      </c>
    </row>
    <row r="18" spans="1:4" x14ac:dyDescent="0.25">
      <c r="A18" s="6" t="s">
        <v>63</v>
      </c>
      <c r="B18" s="3" t="s">
        <v>44</v>
      </c>
      <c r="C18" s="13" t="s">
        <v>305</v>
      </c>
      <c r="D18" s="32" t="str">
        <f>'Project Data'!D44</f>
        <v>TO DOO NO  02401</v>
      </c>
    </row>
    <row r="19" spans="1:4" x14ac:dyDescent="0.25">
      <c r="A19" s="6" t="s">
        <v>64</v>
      </c>
      <c r="B19" s="3" t="s">
        <v>45</v>
      </c>
      <c r="C19" s="13" t="s">
        <v>306</v>
      </c>
      <c r="D19" s="32" t="str">
        <f>'Project Data'!D45</f>
        <v>TO 6 OAK STRET</v>
      </c>
    </row>
    <row r="20" spans="1:4" x14ac:dyDescent="0.25">
      <c r="A20" s="6" t="s">
        <v>63</v>
      </c>
      <c r="B20" s="3" t="s">
        <v>46</v>
      </c>
      <c r="C20" s="13" t="s">
        <v>295</v>
      </c>
      <c r="D20" s="32" t="str">
        <f>'Project Data'!D46</f>
        <v>TEXAS</v>
      </c>
    </row>
    <row r="21" spans="1:4" x14ac:dyDescent="0.25">
      <c r="A21" s="6" t="s">
        <v>63</v>
      </c>
      <c r="B21" s="3" t="s">
        <v>47</v>
      </c>
      <c r="C21" s="13" t="s">
        <v>85</v>
      </c>
      <c r="D21" s="32" t="str">
        <f>'Project Data'!D47</f>
        <v>NV</v>
      </c>
    </row>
    <row r="22" spans="1:4" x14ac:dyDescent="0.25">
      <c r="A22" s="6" t="s">
        <v>63</v>
      </c>
      <c r="B22" s="3" t="s">
        <v>48</v>
      </c>
      <c r="C22" s="13" t="s">
        <v>242</v>
      </c>
      <c r="D22" s="30" t="str">
        <f>'Project Data'!D48</f>
        <v>32345</v>
      </c>
    </row>
    <row r="23" spans="1:4" x14ac:dyDescent="0.25">
      <c r="A23" s="6" t="s">
        <v>63</v>
      </c>
      <c r="B23" s="3" t="s">
        <v>49</v>
      </c>
      <c r="C23" s="13" t="s">
        <v>246</v>
      </c>
      <c r="D23" s="32" t="str">
        <f>'Project Data'!D49</f>
        <v>9120009999</v>
      </c>
    </row>
    <row r="24" spans="1:4" x14ac:dyDescent="0.25">
      <c r="A24" s="6" t="s">
        <v>63</v>
      </c>
      <c r="B24" s="3" t="s">
        <v>55</v>
      </c>
      <c r="C24" s="13" t="s">
        <v>78</v>
      </c>
      <c r="D24" s="32" t="str">
        <f>'Project Data'!D55</f>
        <v>AutoProvGrpName</v>
      </c>
    </row>
    <row r="25" spans="1:4" x14ac:dyDescent="0.25">
      <c r="A25" s="4" t="s">
        <v>64</v>
      </c>
      <c r="B25" s="3" t="s">
        <v>181</v>
      </c>
      <c r="C25" s="13" t="s">
        <v>602</v>
      </c>
      <c r="D25" s="32"/>
    </row>
    <row r="26" spans="1:4" x14ac:dyDescent="0.25">
      <c r="A26" s="4" t="s">
        <v>64</v>
      </c>
      <c r="B26" s="3" t="s">
        <v>182</v>
      </c>
      <c r="C26" s="13" t="s">
        <v>602</v>
      </c>
      <c r="D26" s="32"/>
    </row>
    <row r="27" spans="1:4" x14ac:dyDescent="0.25">
      <c r="A27" s="6" t="s">
        <v>63</v>
      </c>
      <c r="B27" s="3" t="s">
        <v>187</v>
      </c>
      <c r="C27" s="13"/>
      <c r="D27" s="32"/>
    </row>
    <row r="28" spans="1:4" x14ac:dyDescent="0.25">
      <c r="A28" s="6" t="s">
        <v>63</v>
      </c>
      <c r="B28" s="3" t="s">
        <v>189</v>
      </c>
      <c r="C28" s="13"/>
      <c r="D28" s="32"/>
    </row>
    <row r="29" spans="1:4" x14ac:dyDescent="0.25">
      <c r="A29" s="6" t="s">
        <v>63</v>
      </c>
      <c r="B29" s="2" t="s">
        <v>191</v>
      </c>
      <c r="C29" s="13"/>
      <c r="D29" s="32"/>
    </row>
    <row r="30" spans="1:4" x14ac:dyDescent="0.25">
      <c r="A30" s="6" t="s">
        <v>63</v>
      </c>
      <c r="B30" s="3" t="s">
        <v>183</v>
      </c>
      <c r="C30" s="13" t="s">
        <v>76</v>
      </c>
      <c r="D30" s="32"/>
    </row>
    <row r="31" spans="1:4" x14ac:dyDescent="0.25">
      <c r="A31" s="5" t="s">
        <v>63</v>
      </c>
      <c r="B31" s="3" t="s">
        <v>184</v>
      </c>
      <c r="C31" s="13" t="s">
        <v>610</v>
      </c>
      <c r="D31" s="32"/>
    </row>
    <row r="32" spans="1:4" x14ac:dyDescent="0.25">
      <c r="A32" s="6" t="s">
        <v>63</v>
      </c>
      <c r="B32" s="3" t="s">
        <v>185</v>
      </c>
      <c r="C32" s="13"/>
      <c r="D32" s="32"/>
    </row>
    <row r="33" spans="1:4" x14ac:dyDescent="0.25">
      <c r="A33" s="6" t="s">
        <v>63</v>
      </c>
      <c r="B33" s="3" t="s">
        <v>186</v>
      </c>
      <c r="C33" s="13"/>
      <c r="D33" s="32"/>
    </row>
    <row r="34" spans="1:4" x14ac:dyDescent="0.25">
      <c r="A34" s="6" t="s">
        <v>63</v>
      </c>
      <c r="B34" s="3" t="s">
        <v>187</v>
      </c>
      <c r="C34" s="13" t="s">
        <v>550</v>
      </c>
      <c r="D34" s="32"/>
    </row>
    <row r="35" spans="1:4" x14ac:dyDescent="0.25">
      <c r="A35" s="6" t="s">
        <v>63</v>
      </c>
      <c r="B35" s="3" t="s">
        <v>188</v>
      </c>
      <c r="C35" s="13"/>
      <c r="D35" s="32"/>
    </row>
    <row r="36" spans="1:4" x14ac:dyDescent="0.25">
      <c r="A36" s="6" t="s">
        <v>64</v>
      </c>
      <c r="B36" s="3" t="s">
        <v>189</v>
      </c>
      <c r="C36" s="13"/>
      <c r="D36" s="32"/>
    </row>
    <row r="37" spans="1:4" x14ac:dyDescent="0.25">
      <c r="A37" s="6" t="s">
        <v>63</v>
      </c>
      <c r="B37" s="2" t="s">
        <v>190</v>
      </c>
      <c r="C37" s="13"/>
      <c r="D37" s="32"/>
    </row>
    <row r="38" spans="1:4" x14ac:dyDescent="0.25">
      <c r="A38" s="6" t="s">
        <v>64</v>
      </c>
      <c r="B38" s="2" t="s">
        <v>191</v>
      </c>
      <c r="C38" s="13"/>
      <c r="D38" s="32"/>
    </row>
    <row r="39" spans="1:4" x14ac:dyDescent="0.25">
      <c r="A39" s="6" t="s">
        <v>63</v>
      </c>
      <c r="B39" s="2" t="s">
        <v>192</v>
      </c>
      <c r="C39" s="13"/>
      <c r="D39" s="32"/>
    </row>
    <row r="40" spans="1:4" x14ac:dyDescent="0.25">
      <c r="A40" s="4" t="s">
        <v>63</v>
      </c>
      <c r="B40" s="2" t="s">
        <v>193</v>
      </c>
      <c r="C40" s="13" t="s">
        <v>221</v>
      </c>
      <c r="D40" s="32"/>
    </row>
    <row r="41" spans="1:4" x14ac:dyDescent="0.25">
      <c r="A41" s="6" t="s">
        <v>63</v>
      </c>
      <c r="B41" s="2" t="s">
        <v>26</v>
      </c>
      <c r="C41" s="13" t="s">
        <v>85</v>
      </c>
      <c r="D41" s="32" t="str">
        <f>'Project Data'!D26</f>
        <v>NV</v>
      </c>
    </row>
    <row r="42" spans="1:4" x14ac:dyDescent="0.25">
      <c r="A42" s="6" t="s">
        <v>63</v>
      </c>
      <c r="B42" s="2" t="s">
        <v>27</v>
      </c>
      <c r="C42" s="13" t="s">
        <v>544</v>
      </c>
      <c r="D42" s="32" t="str">
        <f>'Project Data'!D27</f>
        <v>AMC</v>
      </c>
    </row>
    <row r="43" spans="1:4" x14ac:dyDescent="0.25">
      <c r="A43" s="6" t="s">
        <v>64</v>
      </c>
      <c r="B43" s="2" t="s">
        <v>53</v>
      </c>
      <c r="C43" s="13" t="s">
        <v>77</v>
      </c>
      <c r="D43" s="32" t="str">
        <f>'Project Data'!D53</f>
        <v>Auto007</v>
      </c>
    </row>
    <row r="44" spans="1:4" x14ac:dyDescent="0.25">
      <c r="A44" s="6" t="s">
        <v>64</v>
      </c>
      <c r="B44" s="2" t="s">
        <v>3</v>
      </c>
      <c r="C44" s="13" t="s">
        <v>603</v>
      </c>
      <c r="D44" s="32" t="str">
        <f>'Project Data'!D3</f>
        <v>STORE_SHAN_</v>
      </c>
    </row>
    <row r="45" spans="1:4" x14ac:dyDescent="0.25">
      <c r="A45" s="4" t="s">
        <v>64</v>
      </c>
      <c r="B45" s="2" t="s">
        <v>194</v>
      </c>
      <c r="C45" s="13" t="s">
        <v>222</v>
      </c>
      <c r="D45" s="32"/>
    </row>
    <row r="46" spans="1:4" x14ac:dyDescent="0.25">
      <c r="A46" s="4" t="s">
        <v>64</v>
      </c>
      <c r="B46" s="2" t="s">
        <v>195</v>
      </c>
      <c r="C46" s="13" t="s">
        <v>223</v>
      </c>
      <c r="D46" s="32"/>
    </row>
    <row r="47" spans="1:4" x14ac:dyDescent="0.25">
      <c r="A47" s="4" t="s">
        <v>64</v>
      </c>
      <c r="B47" s="2" t="s">
        <v>196</v>
      </c>
      <c r="C47" s="13" t="s">
        <v>224</v>
      </c>
      <c r="D47" s="32"/>
    </row>
    <row r="48" spans="1:4" x14ac:dyDescent="0.25">
      <c r="A48" s="4" t="s">
        <v>63</v>
      </c>
      <c r="B48" s="2" t="s">
        <v>197</v>
      </c>
      <c r="C48" s="13" t="s">
        <v>224</v>
      </c>
      <c r="D48" s="32"/>
    </row>
    <row r="49" spans="1:4" x14ac:dyDescent="0.25">
      <c r="A49" s="4" t="s">
        <v>63</v>
      </c>
      <c r="B49" s="2" t="s">
        <v>198</v>
      </c>
      <c r="C49" s="13" t="s">
        <v>224</v>
      </c>
      <c r="D49" s="32"/>
    </row>
    <row r="50" spans="1:4" x14ac:dyDescent="0.25">
      <c r="A50" s="4" t="s">
        <v>63</v>
      </c>
      <c r="B50" s="2" t="s">
        <v>199</v>
      </c>
      <c r="C50" s="13" t="s">
        <v>224</v>
      </c>
      <c r="D50" s="32"/>
    </row>
    <row r="51" spans="1:4" x14ac:dyDescent="0.25">
      <c r="A51" s="4" t="s">
        <v>63</v>
      </c>
      <c r="B51" s="2" t="s">
        <v>200</v>
      </c>
      <c r="C51" s="13" t="s">
        <v>224</v>
      </c>
      <c r="D51" s="32"/>
    </row>
    <row r="52" spans="1:4" x14ac:dyDescent="0.25">
      <c r="A52" s="6" t="s">
        <v>64</v>
      </c>
      <c r="B52" s="2" t="s">
        <v>201</v>
      </c>
      <c r="C52" s="13" t="s">
        <v>226</v>
      </c>
      <c r="D52" s="32"/>
    </row>
    <row r="53" spans="1:4" x14ac:dyDescent="0.25">
      <c r="A53" s="4" t="s">
        <v>63</v>
      </c>
      <c r="B53" s="2" t="s">
        <v>202</v>
      </c>
      <c r="C53" s="13" t="s">
        <v>227</v>
      </c>
      <c r="D53" s="32"/>
    </row>
    <row r="54" spans="1:4" x14ac:dyDescent="0.25">
      <c r="A54" s="4" t="s">
        <v>63</v>
      </c>
      <c r="B54" s="2" t="s">
        <v>203</v>
      </c>
      <c r="C54" s="13" t="s">
        <v>228</v>
      </c>
      <c r="D54" s="32"/>
    </row>
    <row r="55" spans="1:4" x14ac:dyDescent="0.25">
      <c r="A55" s="4" t="s">
        <v>63</v>
      </c>
      <c r="B55" s="2" t="s">
        <v>204</v>
      </c>
      <c r="C55" s="13" t="s">
        <v>229</v>
      </c>
      <c r="D55" s="32"/>
    </row>
    <row r="56" spans="1:4" x14ac:dyDescent="0.25">
      <c r="A56" s="6" t="s">
        <v>63</v>
      </c>
      <c r="B56" s="2" t="s">
        <v>205</v>
      </c>
      <c r="C56" s="13" t="s">
        <v>230</v>
      </c>
      <c r="D56" s="32"/>
    </row>
    <row r="57" spans="1:4" x14ac:dyDescent="0.25">
      <c r="A57" s="4" t="s">
        <v>64</v>
      </c>
      <c r="B57" s="2" t="s">
        <v>206</v>
      </c>
      <c r="C57" s="13" t="s">
        <v>601</v>
      </c>
      <c r="D57" s="32" t="str">
        <f>'Project Data'!D9</f>
        <v>STORE</v>
      </c>
    </row>
    <row r="58" spans="1:4" x14ac:dyDescent="0.25">
      <c r="A58" s="4" t="s">
        <v>64</v>
      </c>
      <c r="B58" s="2" t="s">
        <v>207</v>
      </c>
      <c r="C58" s="13" t="s">
        <v>231</v>
      </c>
      <c r="D58" s="32"/>
    </row>
    <row r="59" spans="1:4" x14ac:dyDescent="0.25">
      <c r="A59" s="4" t="s">
        <v>64</v>
      </c>
      <c r="B59" s="2" t="s">
        <v>208</v>
      </c>
      <c r="C59" s="13" t="s">
        <v>232</v>
      </c>
      <c r="D59" s="32"/>
    </row>
    <row r="60" spans="1:4" x14ac:dyDescent="0.25">
      <c r="A60" s="4" t="s">
        <v>63</v>
      </c>
      <c r="B60" s="2" t="s">
        <v>209</v>
      </c>
      <c r="C60" s="13" t="s">
        <v>233</v>
      </c>
      <c r="D60" s="32"/>
    </row>
    <row r="61" spans="1:4" x14ac:dyDescent="0.25">
      <c r="A61" s="4" t="s">
        <v>63</v>
      </c>
      <c r="B61" s="2" t="s">
        <v>210</v>
      </c>
      <c r="C61" s="13" t="s">
        <v>224</v>
      </c>
      <c r="D61" s="32"/>
    </row>
    <row r="62" spans="1:4" x14ac:dyDescent="0.25">
      <c r="A62" s="6" t="s">
        <v>63</v>
      </c>
      <c r="B62" s="2" t="s">
        <v>211</v>
      </c>
      <c r="C62" s="13" t="s">
        <v>225</v>
      </c>
      <c r="D62" s="32"/>
    </row>
    <row r="63" spans="1:4" x14ac:dyDescent="0.25">
      <c r="A63" s="6" t="s">
        <v>63</v>
      </c>
      <c r="B63" s="2" t="s">
        <v>212</v>
      </c>
      <c r="C63" s="13" t="s">
        <v>225</v>
      </c>
      <c r="D63" s="32"/>
    </row>
    <row r="64" spans="1:4" x14ac:dyDescent="0.25">
      <c r="A64" s="6" t="s">
        <v>63</v>
      </c>
      <c r="B64" s="2" t="s">
        <v>213</v>
      </c>
      <c r="C64" s="13" t="s">
        <v>234</v>
      </c>
      <c r="D64" s="32"/>
    </row>
    <row r="65" spans="1:4" x14ac:dyDescent="0.25">
      <c r="A65" s="4" t="s">
        <v>64</v>
      </c>
      <c r="B65" s="2" t="s">
        <v>166</v>
      </c>
      <c r="C65" s="13" t="s">
        <v>238</v>
      </c>
      <c r="D65" s="32" t="str">
        <f>'Project Data'!D17</f>
        <v>CF</v>
      </c>
    </row>
    <row r="66" spans="1:4" x14ac:dyDescent="0.25">
      <c r="A66" s="6" t="s">
        <v>64</v>
      </c>
      <c r="B66" s="2" t="s">
        <v>348</v>
      </c>
      <c r="C66" s="13" t="s">
        <v>349</v>
      </c>
      <c r="D66" s="32"/>
    </row>
  </sheetData>
  <dataValidations count="1">
    <dataValidation type="list" showErrorMessage="1" errorTitle="!!Field Selection Invalid!!" error="Only Fields to be selected are 'Have' &amp; 'Don't Have'" sqref="A2:A66">
      <formula1>"Have, Don't Have"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46"/>
  <sheetViews>
    <sheetView workbookViewId="0">
      <pane ySplit="1" topLeftCell="A2" activePane="bottomLeft" state="frozen"/>
      <selection activeCell="A40" sqref="A40"/>
      <selection pane="bottomLeft" activeCell="B46" sqref="B46"/>
    </sheetView>
  </sheetViews>
  <sheetFormatPr defaultRowHeight="15" x14ac:dyDescent="0.25"/>
  <cols>
    <col min="1" max="1" width="15.7109375" customWidth="1"/>
    <col min="2" max="2" width="32.7109375" customWidth="1"/>
    <col min="3" max="3" width="22" bestFit="1" customWidth="1"/>
  </cols>
  <sheetData>
    <row r="1" spans="1:3" x14ac:dyDescent="0.25">
      <c r="A1" s="9" t="s">
        <v>62</v>
      </c>
      <c r="B1" s="8" t="s">
        <v>1</v>
      </c>
      <c r="C1" s="8" t="s">
        <v>61</v>
      </c>
    </row>
    <row r="2" spans="1:3" s="80" customFormat="1" x14ac:dyDescent="0.25">
      <c r="A2" s="4" t="s">
        <v>63</v>
      </c>
      <c r="B2" s="3" t="s">
        <v>168</v>
      </c>
      <c r="C2" s="67" t="s">
        <v>571</v>
      </c>
    </row>
    <row r="3" spans="1:3" s="80" customFormat="1" x14ac:dyDescent="0.25">
      <c r="A3" s="4" t="s">
        <v>63</v>
      </c>
      <c r="B3" s="3" t="s">
        <v>252</v>
      </c>
      <c r="C3" s="67" t="s">
        <v>354</v>
      </c>
    </row>
    <row r="4" spans="1:3" s="80" customFormat="1" x14ac:dyDescent="0.25">
      <c r="A4" s="4" t="s">
        <v>63</v>
      </c>
      <c r="B4" s="3" t="s">
        <v>310</v>
      </c>
      <c r="C4" s="30" t="s">
        <v>380</v>
      </c>
    </row>
    <row r="5" spans="1:3" s="80" customFormat="1" x14ac:dyDescent="0.25">
      <c r="A5" s="4" t="s">
        <v>63</v>
      </c>
      <c r="B5" s="3" t="s">
        <v>311</v>
      </c>
      <c r="C5" s="30" t="s">
        <v>380</v>
      </c>
    </row>
    <row r="6" spans="1:3" s="80" customFormat="1" x14ac:dyDescent="0.25">
      <c r="A6" s="51" t="s">
        <v>63</v>
      </c>
      <c r="B6" s="3" t="s">
        <v>572</v>
      </c>
      <c r="C6" s="13"/>
    </row>
    <row r="7" spans="1:3" s="80" customFormat="1" x14ac:dyDescent="0.25">
      <c r="A7" s="4" t="s">
        <v>63</v>
      </c>
      <c r="B7" s="3" t="s">
        <v>312</v>
      </c>
      <c r="C7" s="13" t="s">
        <v>293</v>
      </c>
    </row>
    <row r="8" spans="1:3" s="80" customFormat="1" x14ac:dyDescent="0.25">
      <c r="A8" s="6" t="s">
        <v>63</v>
      </c>
      <c r="B8" s="3" t="s">
        <v>313</v>
      </c>
      <c r="C8" s="13"/>
    </row>
    <row r="9" spans="1:3" s="80" customFormat="1" x14ac:dyDescent="0.25">
      <c r="A9" s="6" t="s">
        <v>63</v>
      </c>
      <c r="B9" s="3" t="s">
        <v>314</v>
      </c>
      <c r="C9" s="13"/>
    </row>
    <row r="10" spans="1:3" s="80" customFormat="1" x14ac:dyDescent="0.25">
      <c r="A10" s="6" t="s">
        <v>63</v>
      </c>
      <c r="B10" s="3" t="s">
        <v>315</v>
      </c>
      <c r="C10" s="13"/>
    </row>
    <row r="11" spans="1:3" s="80" customFormat="1" x14ac:dyDescent="0.25">
      <c r="A11" s="6" t="s">
        <v>63</v>
      </c>
      <c r="B11" s="3" t="s">
        <v>573</v>
      </c>
      <c r="C11" s="13"/>
    </row>
    <row r="12" spans="1:3" s="80" customFormat="1" x14ac:dyDescent="0.25">
      <c r="A12" s="6" t="s">
        <v>63</v>
      </c>
      <c r="B12" s="3" t="s">
        <v>574</v>
      </c>
      <c r="C12" s="13"/>
    </row>
    <row r="13" spans="1:3" s="80" customFormat="1" x14ac:dyDescent="0.25">
      <c r="A13" s="6" t="s">
        <v>63</v>
      </c>
      <c r="B13" s="3" t="s">
        <v>575</v>
      </c>
      <c r="C13" s="13"/>
    </row>
    <row r="14" spans="1:3" s="80" customFormat="1" x14ac:dyDescent="0.25">
      <c r="A14" s="51" t="s">
        <v>63</v>
      </c>
      <c r="B14" s="3" t="s">
        <v>576</v>
      </c>
      <c r="C14" s="30"/>
    </row>
    <row r="15" spans="1:3" s="80" customFormat="1" x14ac:dyDescent="0.25">
      <c r="A15" s="4" t="s">
        <v>63</v>
      </c>
      <c r="B15" s="3" t="s">
        <v>332</v>
      </c>
      <c r="C15" s="13"/>
    </row>
    <row r="16" spans="1:3" s="80" customFormat="1" x14ac:dyDescent="0.25">
      <c r="A16" s="6" t="s">
        <v>63</v>
      </c>
      <c r="B16" s="3" t="s">
        <v>313</v>
      </c>
      <c r="C16" s="13"/>
    </row>
    <row r="17" spans="1:3" s="80" customFormat="1" x14ac:dyDescent="0.25">
      <c r="A17" s="6" t="s">
        <v>63</v>
      </c>
      <c r="B17" s="3" t="s">
        <v>314</v>
      </c>
      <c r="C17" s="13"/>
    </row>
    <row r="18" spans="1:3" s="80" customFormat="1" x14ac:dyDescent="0.25">
      <c r="A18" s="6" t="s">
        <v>63</v>
      </c>
      <c r="B18" s="3" t="s">
        <v>315</v>
      </c>
      <c r="C18" s="13"/>
    </row>
    <row r="19" spans="1:3" s="80" customFormat="1" x14ac:dyDescent="0.25">
      <c r="A19" s="6" t="s">
        <v>64</v>
      </c>
      <c r="B19" s="3" t="s">
        <v>573</v>
      </c>
      <c r="C19" s="13"/>
    </row>
    <row r="20" spans="1:3" s="80" customFormat="1" x14ac:dyDescent="0.25">
      <c r="A20" s="6" t="s">
        <v>63</v>
      </c>
      <c r="B20" s="3" t="s">
        <v>574</v>
      </c>
      <c r="C20" s="13"/>
    </row>
    <row r="21" spans="1:3" s="80" customFormat="1" x14ac:dyDescent="0.25">
      <c r="A21" s="6" t="s">
        <v>63</v>
      </c>
      <c r="B21" s="3" t="s">
        <v>575</v>
      </c>
      <c r="C21" s="13"/>
    </row>
    <row r="22" spans="1:3" s="80" customFormat="1" x14ac:dyDescent="0.25">
      <c r="A22" s="6" t="s">
        <v>63</v>
      </c>
      <c r="B22" s="3" t="s">
        <v>577</v>
      </c>
      <c r="C22" s="13" t="s">
        <v>272</v>
      </c>
    </row>
    <row r="23" spans="1:3" s="80" customFormat="1" x14ac:dyDescent="0.25">
      <c r="A23" s="6" t="s">
        <v>63</v>
      </c>
      <c r="B23" s="3" t="s">
        <v>317</v>
      </c>
      <c r="C23" s="13" t="s">
        <v>76</v>
      </c>
    </row>
    <row r="24" spans="1:3" s="80" customFormat="1" x14ac:dyDescent="0.25">
      <c r="A24" s="6" t="s">
        <v>63</v>
      </c>
      <c r="B24" s="3" t="s">
        <v>318</v>
      </c>
      <c r="C24" s="13"/>
    </row>
    <row r="25" spans="1:3" s="80" customFormat="1" x14ac:dyDescent="0.25">
      <c r="A25" s="6" t="s">
        <v>64</v>
      </c>
      <c r="B25" s="3" t="s">
        <v>319</v>
      </c>
      <c r="C25" s="13"/>
    </row>
    <row r="26" spans="1:3" s="80" customFormat="1" x14ac:dyDescent="0.25">
      <c r="A26" s="6" t="s">
        <v>64</v>
      </c>
      <c r="B26" s="3" t="s">
        <v>320</v>
      </c>
      <c r="C26" s="13"/>
    </row>
    <row r="27" spans="1:3" s="80" customFormat="1" x14ac:dyDescent="0.25">
      <c r="A27" s="6" t="s">
        <v>63</v>
      </c>
      <c r="B27" s="3" t="s">
        <v>321</v>
      </c>
      <c r="C27" s="13"/>
    </row>
    <row r="28" spans="1:3" s="80" customFormat="1" x14ac:dyDescent="0.25">
      <c r="A28" s="6" t="s">
        <v>63</v>
      </c>
      <c r="B28" s="3" t="s">
        <v>322</v>
      </c>
      <c r="C28" s="13"/>
    </row>
    <row r="29" spans="1:3" s="80" customFormat="1" x14ac:dyDescent="0.25">
      <c r="A29" s="6" t="s">
        <v>63</v>
      </c>
      <c r="B29" s="3" t="s">
        <v>323</v>
      </c>
      <c r="C29" s="13"/>
    </row>
    <row r="30" spans="1:3" s="80" customFormat="1" x14ac:dyDescent="0.25">
      <c r="A30" s="6" t="s">
        <v>63</v>
      </c>
      <c r="B30" s="3" t="s">
        <v>324</v>
      </c>
      <c r="C30" s="13"/>
    </row>
    <row r="31" spans="1:3" s="80" customFormat="1" x14ac:dyDescent="0.25">
      <c r="A31" s="6" t="s">
        <v>63</v>
      </c>
      <c r="B31" s="3" t="s">
        <v>325</v>
      </c>
      <c r="C31" s="13"/>
    </row>
    <row r="32" spans="1:3" s="80" customFormat="1" x14ac:dyDescent="0.25">
      <c r="A32" s="6" t="s">
        <v>63</v>
      </c>
      <c r="B32" s="3" t="s">
        <v>326</v>
      </c>
      <c r="C32" s="13"/>
    </row>
    <row r="33" spans="1:3" s="80" customFormat="1" x14ac:dyDescent="0.25">
      <c r="A33" s="6" t="s">
        <v>63</v>
      </c>
      <c r="B33" s="3" t="s">
        <v>327</v>
      </c>
      <c r="C33" s="13"/>
    </row>
    <row r="34" spans="1:3" s="80" customFormat="1" x14ac:dyDescent="0.25">
      <c r="A34" s="6" t="s">
        <v>63</v>
      </c>
      <c r="B34" s="3" t="s">
        <v>328</v>
      </c>
      <c r="C34" s="13"/>
    </row>
    <row r="35" spans="1:3" s="80" customFormat="1" x14ac:dyDescent="0.25">
      <c r="A35" s="6" t="s">
        <v>63</v>
      </c>
      <c r="B35" s="3" t="s">
        <v>329</v>
      </c>
      <c r="C35" s="13"/>
    </row>
    <row r="36" spans="1:3" s="80" customFormat="1" x14ac:dyDescent="0.25">
      <c r="A36" s="6" t="s">
        <v>64</v>
      </c>
      <c r="B36" s="3" t="s">
        <v>330</v>
      </c>
      <c r="C36" s="13"/>
    </row>
    <row r="37" spans="1:3" s="80" customFormat="1" x14ac:dyDescent="0.25">
      <c r="A37" s="6" t="s">
        <v>63</v>
      </c>
      <c r="B37" s="3" t="s">
        <v>331</v>
      </c>
      <c r="C37" s="13"/>
    </row>
    <row r="38" spans="1:3" s="80" customFormat="1" x14ac:dyDescent="0.25">
      <c r="A38" s="4" t="s">
        <v>64</v>
      </c>
      <c r="B38" s="3" t="s">
        <v>208</v>
      </c>
      <c r="C38" s="13" t="s">
        <v>578</v>
      </c>
    </row>
    <row r="39" spans="1:3" s="80" customFormat="1" x14ac:dyDescent="0.25">
      <c r="A39" s="51" t="s">
        <v>63</v>
      </c>
      <c r="B39" s="3" t="s">
        <v>579</v>
      </c>
      <c r="C39" s="13"/>
    </row>
    <row r="40" spans="1:3" s="80" customFormat="1" x14ac:dyDescent="0.25">
      <c r="A40" s="6" t="s">
        <v>63</v>
      </c>
      <c r="B40" s="3" t="s">
        <v>580</v>
      </c>
      <c r="C40" s="13"/>
    </row>
    <row r="41" spans="1:3" s="80" customFormat="1" x14ac:dyDescent="0.25">
      <c r="A41" s="6" t="s">
        <v>63</v>
      </c>
      <c r="B41" s="3" t="s">
        <v>581</v>
      </c>
      <c r="C41" s="13"/>
    </row>
    <row r="42" spans="1:3" s="80" customFormat="1" x14ac:dyDescent="0.25">
      <c r="A42" s="51" t="s">
        <v>63</v>
      </c>
      <c r="B42" s="3" t="s">
        <v>582</v>
      </c>
      <c r="C42" s="13"/>
    </row>
    <row r="43" spans="1:3" s="80" customFormat="1" x14ac:dyDescent="0.25">
      <c r="A43" s="6" t="s">
        <v>64</v>
      </c>
      <c r="B43" s="3" t="s">
        <v>583</v>
      </c>
      <c r="C43" s="13"/>
    </row>
    <row r="44" spans="1:3" s="80" customFormat="1" x14ac:dyDescent="0.25">
      <c r="A44" s="6" t="s">
        <v>64</v>
      </c>
      <c r="B44" s="3" t="s">
        <v>584</v>
      </c>
      <c r="C44" s="13"/>
    </row>
    <row r="45" spans="1:3" s="80" customFormat="1" x14ac:dyDescent="0.25">
      <c r="A45" s="6" t="s">
        <v>64</v>
      </c>
      <c r="B45" s="3" t="s">
        <v>585</v>
      </c>
      <c r="C45" s="13" t="s">
        <v>427</v>
      </c>
    </row>
    <row r="46" spans="1:3" s="80" customFormat="1" x14ac:dyDescent="0.25">
      <c r="A46" s="6" t="s">
        <v>64</v>
      </c>
      <c r="B46" s="3" t="s">
        <v>586</v>
      </c>
      <c r="C46" s="13" t="s">
        <v>587</v>
      </c>
    </row>
  </sheetData>
  <dataValidations count="6">
    <dataValidation type="list" showErrorMessage="1" errorTitle="!!Field Selection Invalid!!" error="Only Fields to be selected are 'Have' &amp; 'Don't Have'" sqref="A2:A46">
      <formula1>"Have, Don't Have"</formula1>
    </dataValidation>
    <dataValidation type="list" allowBlank="1" showInputMessage="1" showErrorMessage="1" sqref="C7">
      <formula1>"IP, OP, SNF, HOP"</formula1>
    </dataValidation>
    <dataValidation type="list" allowBlank="1" showInputMessage="1" showErrorMessage="1" sqref="C22:C23">
      <formula1>"Y, N"</formula1>
    </dataValidation>
    <dataValidation type="list" allowBlank="1" showInputMessage="1" showErrorMessage="1" sqref="C38">
      <formula1>"iCodify, OnCallConsulting, Optum_Hyderabad, Optum_Manila, Optum_Onshore, PI, XL_Health, Optum_Franklin, US_Remote"</formula1>
    </dataValidation>
    <dataValidation type="list" allowBlank="1" showInputMessage="1" showErrorMessage="1" sqref="C46">
      <formula1>"CODREJ"</formula1>
    </dataValidation>
    <dataValidation type="list" allowBlank="1" showInputMessage="1" showErrorMessage="1" sqref="C45">
      <formula1>"E, H, D"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Tool Architecture</vt:lpstr>
      <vt:lpstr>Instructions</vt:lpstr>
      <vt:lpstr>Tool Control</vt:lpstr>
      <vt:lpstr>Settings</vt:lpstr>
      <vt:lpstr>Project Data</vt:lpstr>
      <vt:lpstr>VRF Data</vt:lpstr>
      <vt:lpstr>STD DX Data</vt:lpstr>
      <vt:lpstr>PAF DX Data</vt:lpstr>
      <vt:lpstr>APPEND DX Data</vt:lpstr>
    </vt:vector>
  </TitlesOfParts>
  <Company>Cognizant Technology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208002</dc:creator>
  <cp:lastModifiedBy>Choletti, Govardhan</cp:lastModifiedBy>
  <dcterms:created xsi:type="dcterms:W3CDTF">2012-01-20T13:05:05Z</dcterms:created>
  <dcterms:modified xsi:type="dcterms:W3CDTF">2013-12-16T09:29:59Z</dcterms:modified>
</cp:coreProperties>
</file>